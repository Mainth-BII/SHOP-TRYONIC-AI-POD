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BII\QA-NEW\Tool\antigravity-tryonic-main\Test cases\"/>
    </mc:Choice>
  </mc:AlternateContent>
  <xr:revisionPtr revIDLastSave="0" documentId="13_ncr:1_{61A988DF-D4B6-43BA-BF97-373F35A09C3C}" xr6:coauthVersionLast="47" xr6:coauthVersionMax="47" xr10:uidLastSave="{00000000-0000-0000-0000-000000000000}"/>
  <bookViews>
    <workbookView xWindow="-120" yWindow="-120" windowWidth="29040" windowHeight="15840" tabRatio="956" activeTab="6" xr2:uid="{00000000-000D-0000-FFFF-FFFF00000000}"/>
  </bookViews>
  <sheets>
    <sheet name="Cover Page" sheetId="1" r:id="rId1"/>
    <sheet name="Execution Summary" sheetId="2" r:id="rId2"/>
    <sheet name="HOME" sheetId="3" r:id="rId3"/>
    <sheet name="DESIGN STUDIO" sheetId="4" r:id="rId4"/>
    <sheet name="AI GENERATE" sheetId="5" r:id="rId5"/>
    <sheet name="ĐẶT HÀNG" sheetId="6" r:id="rId6"/>
    <sheet name="THANH TOÁN" sheetId="7" r:id="rId7"/>
    <sheet name="LOGIN" sheetId="8" r:id="rId8"/>
    <sheet name="MY ORDERS" sheetId="9" r:id="rId9"/>
    <sheet name="POLICY PAGES" sheetId="10" r:id="rId10"/>
    <sheet name="E2E FLOW — LUỒNG ĐẦY ĐỦ" sheetId="13" r:id="rId11"/>
    <sheet name="DỮ LIỆU TEST ARTWORK" sheetId="11" r:id="rId12"/>
    <sheet name="GỢI Ý SIZE - TEST DATA" sheetId="12" r:id="rId13"/>
  </sheets>
  <externalReferences>
    <externalReference r:id="rId14"/>
  </externalReferences>
  <definedNames>
    <definedName name="_xlnm._FilterDatabase" localSheetId="4" hidden="1">'AI GENERATE'!$A$1:$AA$1</definedName>
    <definedName name="_xlnm._FilterDatabase" localSheetId="5" hidden="1">'ĐẶT HÀNG'!$A$1:$AA$1</definedName>
    <definedName name="_xlnm._FilterDatabase" localSheetId="3" hidden="1">'DESIGN STUDIO'!$A$1:$AA$1</definedName>
    <definedName name="_xlnm._FilterDatabase" localSheetId="11" hidden="1">'DỮ LIỆU TEST ARTWORK'!$A$1:$Z$1</definedName>
    <definedName name="_xlnm._FilterDatabase" localSheetId="10" hidden="1">'E2E FLOW — LUỒNG ĐẦY ĐỦ'!$A$1:$M$1</definedName>
    <definedName name="_xlnm._FilterDatabase" localSheetId="12" hidden="1">'GỢI Ý SIZE - TEST DATA'!$A$1:$L$1</definedName>
    <definedName name="_xlnm._FilterDatabase" localSheetId="2" hidden="1">HOME!$A$1:$AA$1</definedName>
    <definedName name="_xlnm._FilterDatabase" localSheetId="7" hidden="1">LOGIN!$A$1:$AA$1</definedName>
    <definedName name="_xlnm._FilterDatabase" localSheetId="8" hidden="1">'MY ORDERS'!$A$1:$AA$1</definedName>
    <definedName name="_xlnm._FilterDatabase" localSheetId="9" hidden="1">'POLICY PAGES'!$A$1:$AA$1</definedName>
    <definedName name="_xlnm._FilterDatabase" localSheetId="6" hidden="1">'THANH TOÁN'!$A$1:$AA$1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2" l="1"/>
  <c r="B13" i="2"/>
  <c r="F12" i="2"/>
  <c r="E12" i="2"/>
  <c r="H12" i="2" s="1"/>
  <c r="D12" i="2"/>
  <c r="C12" i="2"/>
  <c r="F11" i="2"/>
  <c r="E11" i="2"/>
  <c r="H11" i="2" s="1"/>
  <c r="D11" i="2"/>
  <c r="C11" i="2"/>
  <c r="H10" i="2"/>
  <c r="G10" i="2"/>
  <c r="F10" i="2"/>
  <c r="E10" i="2"/>
  <c r="D10" i="2"/>
  <c r="C10" i="2"/>
  <c r="F9" i="2"/>
  <c r="E9" i="2"/>
  <c r="G9" i="2" s="1"/>
  <c r="D9" i="2"/>
  <c r="C9" i="2"/>
  <c r="H8" i="2"/>
  <c r="F8" i="2"/>
  <c r="E8" i="2"/>
  <c r="G8" i="2" s="1"/>
  <c r="D8" i="2"/>
  <c r="C8" i="2"/>
  <c r="F7" i="2"/>
  <c r="E7" i="2"/>
  <c r="H7" i="2" s="1"/>
  <c r="D7" i="2"/>
  <c r="C7" i="2"/>
  <c r="H6" i="2"/>
  <c r="G6" i="2"/>
  <c r="F6" i="2"/>
  <c r="E6" i="2"/>
  <c r="D6" i="2"/>
  <c r="C6" i="2"/>
  <c r="F5" i="2"/>
  <c r="E5" i="2"/>
  <c r="G5" i="2" s="1"/>
  <c r="D5" i="2"/>
  <c r="C5" i="2"/>
  <c r="F4" i="2"/>
  <c r="F13" i="2" s="1"/>
  <c r="E4" i="2"/>
  <c r="E13" i="2" s="1"/>
  <c r="D4" i="2"/>
  <c r="C4" i="2"/>
  <c r="C13" i="2" s="1"/>
  <c r="H9" i="2" l="1"/>
  <c r="H5" i="2"/>
  <c r="G4" i="2"/>
  <c r="G12" i="2"/>
  <c r="G7" i="2"/>
  <c r="G11" i="2"/>
  <c r="H4" i="2"/>
</calcChain>
</file>

<file path=xl/sharedStrings.xml><?xml version="1.0" encoding="utf-8"?>
<sst xmlns="http://schemas.openxmlformats.org/spreadsheetml/2006/main" count="10576" uniqueCount="3641">
  <si>
    <t>Company:</t>
  </si>
  <si>
    <t>Tryonic AI Platform</t>
  </si>
  <si>
    <t>Project:</t>
  </si>
  <si>
    <t>POD T-Shirt Platform</t>
  </si>
  <si>
    <t>Document:</t>
  </si>
  <si>
    <t>Test Case Execution Summary v30</t>
  </si>
  <si>
    <t>Version:</t>
  </si>
  <si>
    <t>v30 — Source Code Sync 2026-03-26</t>
  </si>
  <si>
    <t>Date:</t>
  </si>
  <si>
    <t>2026-03-26</t>
  </si>
  <si>
    <t>Structure:</t>
  </si>
  <si>
    <t>9 Feature Sheets (Merged)</t>
  </si>
  <si>
    <t>Changes:</t>
  </si>
  <si>
    <t>v30: NEW: Profile Page (avatar, contact, stats, address mgmt), AddressPicker (multi-address CRUD max 5), CheckoutModal (3-step drawer). UPD: Checkout Page (AddressPicker integration, flash discount, promo codes), TopBar (/profile link), OrderModal (selectedSize)</t>
  </si>
  <si>
    <t>Execution Summary — Test Progress Dashboard v30</t>
  </si>
  <si>
    <t>Feature</t>
  </si>
  <si>
    <t>Total TCs</t>
  </si>
  <si>
    <t>Pass</t>
  </si>
  <si>
    <t>Fail</t>
  </si>
  <si>
    <t>Untested</t>
  </si>
  <si>
    <t>N/A</t>
  </si>
  <si>
    <t>% Progress</t>
  </si>
  <si>
    <t>% Pass Rate</t>
  </si>
  <si>
    <t>HOME</t>
  </si>
  <si>
    <t>DESIGN STUDIO</t>
  </si>
  <si>
    <t>AI GENERATE</t>
  </si>
  <si>
    <t>ĐẶT HÀNG</t>
  </si>
  <si>
    <t>THANH TOÁN</t>
  </si>
  <si>
    <t>LOGIN</t>
  </si>
  <si>
    <t>E2E FLOW</t>
  </si>
  <si>
    <t>MY ORDERS</t>
  </si>
  <si>
    <t>POLICY PAGES</t>
  </si>
  <si>
    <t>TOTAL</t>
  </si>
  <si>
    <t>TC_ID</t>
  </si>
  <si>
    <t>Screen</t>
  </si>
  <si>
    <t>US_Mapping</t>
  </si>
  <si>
    <t>Module</t>
  </si>
  <si>
    <t>Title</t>
  </si>
  <si>
    <t>Type</t>
  </si>
  <si>
    <t>Priority</t>
  </si>
  <si>
    <t>Pre-condition</t>
  </si>
  <si>
    <t>Steps</t>
  </si>
  <si>
    <t>Expected Result</t>
  </si>
  <si>
    <t>Actual Result</t>
  </si>
  <si>
    <t>Action Type</t>
  </si>
  <si>
    <t>Create TCs Type</t>
  </si>
  <si>
    <t>Execution Type</t>
  </si>
  <si>
    <t>Result_R1</t>
  </si>
  <si>
    <t>Test Date_R1</t>
  </si>
  <si>
    <t>Tester_R1</t>
  </si>
  <si>
    <t>Bug ID_R1</t>
  </si>
  <si>
    <t>Bug Desc_R1</t>
  </si>
  <si>
    <t>Result_R2</t>
  </si>
  <si>
    <t>Test Date_R2</t>
  </si>
  <si>
    <t>Tester_R2</t>
  </si>
  <si>
    <t>Bug ID_R2</t>
  </si>
  <si>
    <t>Bug Desc_R2</t>
  </si>
  <si>
    <t>Evidence</t>
  </si>
  <si>
    <t>Notes</t>
  </si>
  <si>
    <t>Review_Manual (Feedback)</t>
  </si>
  <si>
    <t>📌 UI/UX</t>
  </si>
  <si>
    <t>TC_HOME_UI_009</t>
  </si>
  <si>
    <t>MH Trang chủ</t>
  </si>
  <si>
    <t>US-HP-03</t>
  </si>
  <si>
    <t>AI Input</t>
  </si>
  <si>
    <t>Home page: Nút Generate style đúng</t>
  </si>
  <si>
    <t>🎨 UI/UX</t>
  </si>
  <si>
    <t>**🔴 P0**</t>
  </si>
  <si>
    <t>1. Truy cập vào trang 
2. Quan sát nút Generate bên phải input box</t>
  </si>
  <si>
    <t>Nút hiển thị: text 'Tạo ngay' + icon Wand2 ✨. Background teal gradient (#0D9488), text trắng, bo tròn. Nút nằm bên phải input</t>
  </si>
  <si>
    <t>Add new</t>
  </si>
  <si>
    <t>By AI</t>
  </si>
  <si>
    <t>Manual</t>
  </si>
  <si>
    <t>TC_HOME_UI_008</t>
  </si>
  <si>
    <t>Home page: AI Input Box placeholder đúng</t>
  </si>
  <si>
    <t>**🟠 P1**</t>
  </si>
  <si>
    <t>1. Truy cập vào trang 
2. Quan sát ô nhập liệu AI ở giữa trang</t>
  </si>
  <si>
    <t>Placeholder hiển thị: 'Bạn muốn kể gì trên áo?'. Input dạng chat conversational, bo tròn. Animated gradient border (teal-cyan). Có nút đính kèm ảnh tham khảo bên trái, nút 'Tạo ngay' bên phải</t>
  </si>
  <si>
    <t>TC_HOME_UI_010</t>
  </si>
  <si>
    <t>Home page: 6 Style Tags hiển thị đầy đủ</t>
  </si>
  <si>
    <t>1. Truy cập vào trang 
2. Quan sát các tag phía dưới AI Input Box</t>
  </si>
  <si>
    <t>Hiển thị đầy đủ 6 tags: 'Tối giản', 'Streetwear', 'Anime', 'Retro', 'Y2K vibes', 'Nghệ thuật'. Mỗi tag có emoji riêng (🎯🔥🌸🎸✨🎨), bo tròn full, gradient border khi selected. Font size ~14px</t>
  </si>
  <si>
    <t>TC_HOME_UI_011</t>
  </si>
  <si>
    <t>Home page: Nút 'Chọn từ mẫu có sẵn' hiển thị</t>
  </si>
  <si>
    <t>1. Truy cập vào trang 
2. Quan sát 2 nút phía dưới Style Tags</t>
  </si>
  <si>
    <t>Nút 'Chọn từ mẫu có sẵn' hiển thị: Grid icon tím, subtitle 'Khám phá thư viện mẫu', background trắng, border tím. Font size title ~16px, subtitle ~13px</t>
  </si>
  <si>
    <t>TC_HOME_UI_012</t>
  </si>
  <si>
    <t>Home page: Nút 'Tải lên ảnh của bạn' hiển thị</t>
  </si>
  <si>
    <t>1. Truy cập vào trang 
2. Quan sát nút thứ hai phía dưới Style Tags</t>
  </si>
  <si>
    <t>Nút 'Tải lên ảnh của bạn' hiển thị: Upload icon tím, subtitle 'Sử dụng file thiết kế riêng', background trắng, border tím. Font size title ~16px, subtitle ~13px</t>
  </si>
  <si>
    <t>TC_HOME_016</t>
  </si>
  <si>
    <t>US-HP-05</t>
  </si>
  <si>
    <t>Accessibility</t>
  </si>
  <si>
    <t>Home page: Heading hierarchy đúng chuẩn</t>
  </si>
  <si>
    <t>**🟢 P2**</t>
  </si>
  <si>
    <t>1. Truy cập vào trang 
2. Kiểm tra source code: kiểm tra thứ tự h1, h2, h3</t>
  </si>
  <si>
    <t>Trang chỉ có 1 thẻ h1 (Headline chính). Các heading phụ sử dụng h2, h3 đúng thứ tự. Không skip level (h1 → h3)</t>
  </si>
  <si>
    <t>TC_HOME_017</t>
  </si>
  <si>
    <t>Home page: Keyboard navigation (Tab order)</t>
  </si>
  <si>
    <t>1. Truy cập vào trang 
2. Nhấn Tab liên tục từ đầu trang</t>
  </si>
  <si>
    <t>Tab order hợp lý: Logo → Menu items → 'Thiết kế ngay' → AI Input → Generate → Style Tags → Action Buttons. Focus ring hiển thị rõ ràng</t>
  </si>
  <si>
    <t>TC_HOME_UI_006</t>
  </si>
  <si>
    <t>US-HP-02</t>
  </si>
  <si>
    <t>Hero</t>
  </si>
  <si>
    <t>Home page: Headline text đúng nội dung (Updated v28)</t>
  </si>
  <si>
    <t>1. Truy cập vào trang 
2. Quan sát tiêu đề chính Hero section</t>
  </si>
  <si>
    <t>Headline hiển thị: 'Mỗi chiếc áo, một câu chuyện'. Phần highlight có màu tím gradient. Font size lớn (~48-56px), bold</t>
  </si>
  <si>
    <t>TC_HOME_UI_005</t>
  </si>
  <si>
    <t>Home page: Badge 'AI-Powered Design' hiển thị</t>
  </si>
  <si>
    <t>1. Truy cập vào trang 
2. Quan sát phần trên cùng Hero section</t>
  </si>
  <si>
    <t>Badge/chip hiển thị: '✨ AI-Powered Design' với background tím nhạt, icon sparkle, text tím đậm</t>
  </si>
  <si>
    <t>TC_HOME_UI_007</t>
  </si>
  <si>
    <t>Home page: Subtitle text đúng nội dung</t>
  </si>
  <si>
    <t>1. Truy cập vào trang 
2. Quan sát dòng mô tả bên dưới Headline</t>
  </si>
  <si>
    <t>Subtitle hiển thị: 'Kể mình nghe ý tưởng của bạn — mình biến nó thành artwork trên áo trong vài giây!'. Text xám, centered. Font size ~16-18px</t>
  </si>
  <si>
    <t>TC_HOME_UI_016</t>
  </si>
  <si>
    <t>Home page: Background gradient Hero section</t>
  </si>
  <si>
    <t>1. Truy cập vào trang 
2. Quan sát nền trang Hero section</t>
  </si>
  <si>
    <t>Nền hiển thị gradient nhẹ: trắng lavender (#F8F7FF) với các hiệu ứng trang trí 2 bên (hình trang trí mờ/blur)</t>
  </si>
  <si>
    <t>TC_HOME_UI_003</t>
  </si>
  <si>
    <t>US-HP-01</t>
  </si>
  <si>
    <t>Home - Header</t>
  </si>
  <si>
    <t>Home page: Nút 'Thiết kế ngay' style đúng</t>
  </si>
  <si>
    <t>1. Truy cập vào trang 
2. Quan sát nút CTA góc phải header</t>
  </si>
  <si>
    <t>Nút 'Thiết kế ngay' hiển thị: background gradient tím→đỏ (#7C3AED→#E11D48), text trắng, bo tròn (rounded-full), font semi-bold</t>
  </si>
  <si>
    <t>TC_HOME_UI_001</t>
  </si>
  <si>
    <t>Home page: Logo Tryonic AI hiển thị đúng</t>
  </si>
  <si>
    <t>1. Truy cập vào trang 
2. Mở /home/
3. Quan sát góc trái header</t>
  </si>
  <si>
    <t>Logo hiển thị: icon tím gradient + text 'Tryonic AI'. Logo có thể click và trỏ về trang chủ</t>
  </si>
  <si>
    <t>TC_HOME_UI_002</t>
  </si>
  <si>
    <t>Home page: Navigation menu hiển thị đầy đủ</t>
  </si>
  <si>
    <t>1. Truy cập vào trang 
2. Quan sát thanh navigation giữa header</t>
  </si>
  <si>
    <t>Hiển thị đầy đủ 4 menu items: 'Trang chủ', 'Sản phẩm', 'Dịch vụ', 'Liên hệ'. Font sans-serif, text đậm vừa. Menu 'Trang chủ' có trạng thái active/focus khi đang ở trang Home</t>
  </si>
  <si>
    <t>TC_HOME_UI_004</t>
  </si>
  <si>
    <t>Home page: Header sticky khi scroll</t>
  </si>
  <si>
    <t>1. Truy cập vào trang 
2. Scroll xuống cuối trang
3. Quan sát header</t>
  </si>
  <si>
    <t>Header cố định (sticky) ở trên cùng khi scroll. Nền trắng, không bị mờ hoặc biến mất</t>
  </si>
  <si>
    <t>TC_HOME_UI_014</t>
  </si>
  <si>
    <t>Home page: Hover effect trên menu items</t>
  </si>
  <si>
    <t>1. Truy cập vào trang 
2. Hover chuột lần lượt qua 'Trang chủ', 'Sản phẩm', 'Dịch vụ', 'Liên hệ'</t>
  </si>
  <si>
    <t>Mỗi menu item có hiệu ứng hover (đổi màu, underline hoặc highlight). Cursor chuyển sang pointer</t>
  </si>
  <si>
    <t>TC_HOME_UI_015</t>
  </si>
  <si>
    <t>Home page: Hover effect trên nút 'Thiết kế ngay'</t>
  </si>
  <si>
    <t>1. Truy cập vào trang 
2. Hover chuột qua nút 'Thiết kế ngay'</t>
  </si>
  <si>
    <t>Nút có hiệu ứng hover (shadow đậm hơn, scale nhẹ hoặc sáng hơn). Cursor chuyển sang pointer</t>
  </si>
  <si>
    <t>TC_HOME_UI_860</t>
  </si>
  <si>
    <t>Global</t>
  </si>
  <si>
    <t>Responsive &amp; Zoom</t>
  </si>
  <si>
    <t>Màn hình Home: Browser Zoom In/Out (50% - 200%) giữ nguyên layout</t>
  </si>
  <si>
    <t>1. Truy cập trang Home.
2. Nhấn Ctrl/Cmd + [+] để Zoom In 200%.
3. Nhấn Ctrl/Cmd + [-] để Zoom Out 50%.
4. Cuộn và quan sát toàn màn hình.</t>
  </si>
  <si>
    <t>Text/SVG luôn sắc nét, không bị vỡ hạt (pixelated). Bố cục (Layout) thu phóng đúng tỷ lệ, không rớt dòng bậy bạ, không che lấp button quan trọng.</t>
  </si>
  <si>
    <t>TC_HOME_UI_864</t>
  </si>
  <si>
    <t>Responsive (Android Tablet)</t>
  </si>
  <si>
    <t>Màn hình Home: Responsive trên Android Tablet (Chrome, Dọc - Portrait)</t>
  </si>
  <si>
    <t>1. Truy cập trang Home trên Tablet Android ở chế độ cầm dọc (Portrait).
2. Thao tác trên giao diện.</t>
  </si>
  <si>
    <t>Giao diện hoạt động trơn tru tương tự iPad, icon và text scale đúng chuẩn tỉ lệ (không quá bé hoặc quá khổng lồ).</t>
  </si>
  <si>
    <t>TC_HOME_UI_862</t>
  </si>
  <si>
    <t>Responsive (Android)</t>
  </si>
  <si>
    <t>Màn hình Home: Responsive trên Android Phone (Chrome, Dọc - Portrait)</t>
  </si>
  <si>
    <t>1. Truy cập trang Home trên điện thoại Android chế độ cầm dọc (Portrait).
2. Cuộn lên/xuống toàn bộ trang.
3. Focus vào input AI (bàn phím ảo hiện lên).</t>
  </si>
  <si>
    <t>Bố cục hoàn toàn responsive (tương tự iPhone). Đảm bảo bàn phím ảo không che khuất nút Generate. Màn hình không bị giật/nháy (flicker).</t>
  </si>
  <si>
    <t>TC_HOME_UI_865</t>
  </si>
  <si>
    <t>Responsive (Landscape)</t>
  </si>
  <si>
    <t>Màn hình Home: Responsive chế độ Xoay Ngang (Landscape - Điện thoại/Tablet)</t>
  </si>
  <si>
    <t>1. Từ trạng thái dọc, xoay ngang thiết bị di động (Landscape).
2. Đảm bảo tính năng xoay màn hình của hệ điều hành được bật.
3. Quan sát quá trình chuyển đổi giao diện.</t>
  </si>
  <si>
    <t>UI tự động sắp xếp lại chiều ngang phù hợp. Header navigation không bị tràn. AI Input Box vẫn hiển thị đầy đủ. Không bị lủng layout trong lúc/sau khi xoay.</t>
  </si>
  <si>
    <t>TC_HOME_UI_863</t>
  </si>
  <si>
    <t>Responsive (iPad)</t>
  </si>
  <si>
    <t>Màn hình Home: Responsive trên iPad (Safari, Dọc - Portrait)</t>
  </si>
  <si>
    <t>1. Truy cập trang Home trên iPad ở chế độ cầm dọc (Portrait).
2. Quan sát bố cục.</t>
  </si>
  <si>
    <t>Màn hình căn giữa hợp lý. AI Input Box không bị trải rộng quá mức. Style Tags hiển thị trên 1 hàng nếu đủ không gian. Trust Markers căn giữa.</t>
  </si>
  <si>
    <t>TC_HOME_UI_861</t>
  </si>
  <si>
    <t>Responsive (iPhone)</t>
  </si>
  <si>
    <t>Màn hình Home: Responsive trên iPhone (Safari/Chrome, Dọc - Portrait)</t>
  </si>
  <si>
    <t>1. Truy cập trang Home trên iPhone ở chế độ cầm dọc (Portrait).
2. Cuộn lên/xuống toàn trang.
3. Tap thử các nút bấm, input field.</t>
  </si>
  <si>
    <t>Không xuất hiện thanh cuộn ngang thừa. Các khối nội dung hiển thị cột đơn (stacking). Các nút bấm (Touch Targets) không quá nhỏ, không nằm sát mép màn hình (có padding viền an toàn hợp lý). Style Tags wrap xuống hàng mới nếu không đủ chiều rộng.</t>
  </si>
  <si>
    <t>TC_HOME_014</t>
  </si>
  <si>
    <t>SEO</t>
  </si>
  <si>
    <t>Home page: Title tag hiển thị đúng thương hiệu</t>
  </si>
  <si>
    <t>1. Truy cập vào trang 
2. Quan sát tab title trên trình duyệt</t>
  </si>
  <si>
    <t>Title tag hiển thị tên thương hiệu (vd: 'Tryonic AI - Thiết kế áo thun bằng AI') thay vì 'POD Admin CMS' (BUG hiện tại)</t>
  </si>
  <si>
    <t>TC_HOME_015</t>
  </si>
  <si>
    <t>Home page: Meta description tối ưu</t>
  </si>
  <si>
    <t>1. Truy cập vào trang 
2. Kiểm tra source code: &lt;meta name="description"&gt;</t>
  </si>
  <si>
    <t>Meta description có nội dung mô tả phù hợp, không rỗng hoặc mặc định CMS</t>
  </si>
  <si>
    <t>TC_HOME_UI_013</t>
  </si>
  <si>
    <t>US-HP-04</t>
  </si>
  <si>
    <t>Footer</t>
  </si>
  <si>
    <t>Home page: Trust Markers hiển thị đầy đủ</t>
  </si>
  <si>
    <t>1. Truy cập vào trang 
2. Scroll xuống cuối trang
3. Quan sát footer strip</t>
  </si>
  <si>
    <t>Hiển thị 3 markers: '✅ Thanh toán an toàn', '✅ Giao hàng toàn quốc', '✅ Đổi trả 7 ngày'. Mỗi marker có icon check xanh, phân cách bởi dấu chấm. Font size ~14px</t>
  </si>
  <si>
    <t>TC_TOAST_UI_001</t>
  </si>
  <si>
    <t>Toast/Snackbar</t>
  </si>
  <si>
    <t>Notification - Toast</t>
  </si>
  <si>
    <t>Toast/Snackbar: Vị trí và thời gian hiển thị</t>
  </si>
  <si>
    <t>1. Thực hiện action trigger toast (VD: thêm giỏ hàng)
2. Quan sát toast message</t>
  </si>
  <si>
    <t>Toast xuất hiện top-right hoặc bottom-center. Tự biến mất sau 3-5s. Có thể click dismiss. Không che khuất nút quan trọng</t>
  </si>
  <si>
    <t>TC_ERR_UI_001</t>
  </si>
  <si>
    <t>Error Page</t>
  </si>
  <si>
    <t>Error - 404</t>
  </si>
  <si>
    <t>Trang 404: URL không tồn tại</t>
  </si>
  <si>
    <t>1. Truy cập URL không tồn tại (VD: /abc123)
2. Quan sát trang</t>
  </si>
  <si>
    <t>Hiển thị trang 404 thân thiện: illustration, text 'Trang không tồn tại', nút 'Về trang chủ'. KHÔNG hiển thị lỗi kỹ thuật</t>
  </si>
  <si>
    <t>📌 Validation</t>
  </si>
  <si>
    <t>TC_HOME_009</t>
  </si>
  <si>
    <t>Click Generate khi input rỗng</t>
  </si>
  <si>
    <t>⚠️ Negative</t>
  </si>
  <si>
    <t>1. Truy cập vào trang 
2. Không nhập gì vào AI Input Box
3. Click nút 'Generate'</t>
  </si>
  <si>
    <t>Không validate. Chuyển sang Design Studio với thiết kế mặc định</t>
  </si>
  <si>
    <t>TC_HOME_019</t>
  </si>
  <si>
    <t>AI prompt cực dài 5000+ ký tự (BVA max)</t>
  </si>
  <si>
    <t>1. Truy cập vào trang 
2. Nhập text 5000+ ký tự vào AI Input Box
3. Click 'Generate'</t>
  </si>
  <si>
    <t>Input truncate hoặc hiển thị validation: 'Mô tả quá dài (tối đa X ký tự)'. Không gửi payload quá lớn</t>
  </si>
  <si>
    <t>TC_HOME_020</t>
  </si>
  <si>
    <t>AI prompt chỉ có whitespace/spaces</t>
  </si>
  <si>
    <t>1. Truy cập vào trang 
2. Nhập text: '     ' (chỉ spaces) vào AI Input Box
3. Click 'Generate'</t>
  </si>
  <si>
    <t>Hiển thị validation tương tự input rỗng: 'Vui lòng nhập mô tả'. Trim whitespace trước khi validate</t>
  </si>
  <si>
    <t>TC_HOME_018</t>
  </si>
  <si>
    <t>AI prompt chỉ có 1 ký tự (BVA min)</t>
  </si>
  <si>
    <t>1. Truy cập vào trang 
2. Nhập text: 'A' (1 ký tự) vào AI Input Box
3. Click 'Generate'</t>
  </si>
  <si>
    <t>Hiển thị validation: 'Mô tả quá ngắn' hoặc chấp nhận và xử lý. Behavior rõ ràng, không crash</t>
  </si>
  <si>
    <t>TC_HOME_010</t>
  </si>
  <si>
    <t>Navigation</t>
  </si>
  <si>
    <t>Menu 'Sản phẩm' trỏ đúng route</t>
  </si>
  <si>
    <t>1. Truy cập vào trang 
2. Click menu 'Sản phẩm' trên navigation
3. Quan sát URL</t>
  </si>
  <si>
    <t>URL chuyển sang /products hoặc trang sản phẩm tương ứng. Không trỏ ngược về /home/ (BUG hiện tại: trỏ sai)</t>
  </si>
  <si>
    <t>TC_HOME_011</t>
  </si>
  <si>
    <t>Menu 'Dịch vụ' trỏ đúng route</t>
  </si>
  <si>
    <t>1. Truy cập vào trang 
2. Click menu 'Dịch vụ' trên navigation
3. Quan sát URL</t>
  </si>
  <si>
    <t>URL chuyển sang /services hoặc trang dịch vụ tương ứng. Không trỏ ngược về /home/ (BUG hiện tại: trỏ sai)</t>
  </si>
  <si>
    <t>TC_HOME_012</t>
  </si>
  <si>
    <t>Menu 'Liên hệ' trỏ đúng route</t>
  </si>
  <si>
    <t>1. Truy cập vào trang 
2. Click menu 'Liên hệ' trên navigation
3. Quan sát URL</t>
  </si>
  <si>
    <t>URL chuyển sang /contact hoặc trang liên hệ tương ứng. Không trỏ ngược về /home/ (BUG hiện tại: trỏ sai)</t>
  </si>
  <si>
    <t>📌 Functional</t>
  </si>
  <si>
    <t>TC_HOME_004</t>
  </si>
  <si>
    <t>Nhập prompt vào AI Input Box và click Generate</t>
  </si>
  <si>
    <t>✅ Positive</t>
  </si>
  <si>
    <t>1. Truy cập vào trang 
2. Nhập text: 'Áo minimalist hoa sakura' vào AI Input Box
3. Click nút 'Generate'</t>
  </si>
  <si>
    <t>Chuyển sang Design Studio và hiển thị kết quả AI. Prompt được xử lý. Loading state hiển thị</t>
  </si>
  <si>
    <t>TC_HOME_025</t>
  </si>
  <si>
    <t>Click Generate sau khi chọn Style Tag</t>
  </si>
  <si>
    <t>1. Truy cập vào trang 
2. Click tag 'Streetwear'
3. Nhập text: 'Áo phong cách đường phố'
4. Click nút 'Generate'</t>
  </si>
  <si>
    <t>Prompt được gửi kèm style tag đã chọn. Loading state hiển thị. Chuyển sang Design Studio với style 'Streetwear'</t>
  </si>
  <si>
    <t>TC_HOME_005</t>
  </si>
  <si>
    <t>Click Style Tag thay đổi trạng thái</t>
  </si>
  <si>
    <t>1. Truy cập vào trang 
2. Click tag 'Tối giản'
3. Click tag 'Anime'</t>
  </si>
  <si>
    <t>Tag được chọn có highlight (background đổi màu hoặc border đậm). Chỉ 1 tag active cùng lúc — tag trước đó tự động bỏ highlight khi chọn tag mới</t>
  </si>
  <si>
    <t>TC_HOME_006</t>
  </si>
  <si>
    <t>Click nút 'Chọn từ mẫu có sẵn'</t>
  </si>
  <si>
    <t>1. Truy cập vào trang 
2. Click nút 'Chọn từ mẫu có sẵn'</t>
  </si>
  <si>
    <t>Chuyển sang Design Studio và mở tab thư viện mẫu hiển thị danh sách templates có sẵn</t>
  </si>
  <si>
    <t>TC_HOME_007</t>
  </si>
  <si>
    <t>Click nút 'Tải lên ảnh của bạn'</t>
  </si>
  <si>
    <t>1. Truy cập vào trang 
2. Click nút 'Tải lên ảnh của bạn'</t>
  </si>
  <si>
    <t>Chuyển sang Design Studio và mở thư viện ảnh cho phép chọn file ảnh để tải lên. Chấp nhận formats: PNG, JPG, SVG</t>
  </si>
  <si>
    <t>TC_HOME_021</t>
  </si>
  <si>
    <t>Click tag 'Streetwear' và verify style được áp dụng</t>
  </si>
  <si>
    <t>1. Truy cập vào trang 
2. Click tag 'Streetwear' (🔥 icon)</t>
  </si>
  <si>
    <t>Tag 'Streetwear' highlight (border đậm hoặc background đổi). Các tag khác bỏ highlight. Prompt box cập nhật style tương ứng</t>
  </si>
  <si>
    <t>TC_HOME_022</t>
  </si>
  <si>
    <t>Click tag 'Retro' và verify style được áp dụng</t>
  </si>
  <si>
    <t>1. Truy cập vào trang 
2. Click tag 'Retro' (🎸 icon)</t>
  </si>
  <si>
    <t>Tag 'Retro' highlight. Các tag khác bỏ highlight</t>
  </si>
  <si>
    <t>TC_HOME_023</t>
  </si>
  <si>
    <t>Click tag 'Y2K vibes' và verify style được áp dụng</t>
  </si>
  <si>
    <t>1. Truy cập vào trang 
2. Click tag 'Y2K vibes' (✨ icon)</t>
  </si>
  <si>
    <t>Tag 'Y2K vibes' highlight. Các tag khác bỏ highlight</t>
  </si>
  <si>
    <t>TC_HOME_024</t>
  </si>
  <si>
    <t>Click tag 'Nghệ thuật' và verify style được áp dụng</t>
  </si>
  <si>
    <t>1. Truy cập vào trang 
2. Click tag 'Nghệ thuật' (🎨 icon)</t>
  </si>
  <si>
    <t>Tag 'Nghệ thuật' highlight. Các tag khác bỏ highlight</t>
  </si>
  <si>
    <t>TC_HOME_008</t>
  </si>
  <si>
    <t>Submit AI Input bằng phím Enter</t>
  </si>
  <si>
    <t>1. Truy cập vào trang 
2. Nhập text: 'Áo vintage rock band'
3. Nhấn phím Enter</t>
  </si>
  <si>
    <t>Form submit thành công — chuyển sang Design Studio hoặc hiển thị loading state. Behavior tương đương click nút Generate</t>
  </si>
  <si>
    <t>TC_HOME_026</t>
  </si>
  <si>
    <t>Click badge '✨ AI-Powered Design'</t>
  </si>
  <si>
    <t>1. Truy cập vào trang 
2. Click badge '✨ AI-Powered Design' ở Hero section</t>
  </si>
  <si>
    <t>Badge không phải link → không redirect</t>
  </si>
  <si>
    <t>TC_HOME_001</t>
  </si>
  <si>
    <t>Click nút 'Thiết kế ngay' mở Design Studio</t>
  </si>
  <si>
    <t>1. Truy cập vào trang 
2. Mở /home/
3. Click nút 'Thiết kế ngay' trên header</t>
  </si>
  <si>
    <t>Chuyển sang trang Design Studio. Canvas mockup áo thun hiển thị. Header đổi thành header Design Studio</t>
  </si>
  <si>
    <t>TC_HOME_002</t>
  </si>
  <si>
    <t>Click logo Tryonic AI trỏ về trang chủ</t>
  </si>
  <si>
    <t>1. Truy cập vào trang 
2. Từ bất kỳ trang nào, click logo 'Tryonic AI'</t>
  </si>
  <si>
    <t>Redirect về /home/. Trang chủ load đầy đủ</t>
  </si>
  <si>
    <t>TC_HOME_003</t>
  </si>
  <si>
    <t>Click menu 'Trang chủ'</t>
  </si>
  <si>
    <t>1. Truy cập vào trang 
2. Click 'Trang chủ' trên menu</t>
  </si>
  <si>
    <t>URL trỏ đến /home/. Trang load thành công</t>
  </si>
  <si>
    <t>TC_ERR_F_002</t>
  </si>
  <si>
    <t>SPA Routing</t>
  </si>
  <si>
    <t>Error - Direct URL</t>
  </si>
  <si>
    <t>Truy cập SPA route trực tiếp (deep link)</t>
  </si>
  <si>
    <t>1. Nhập trực tiếp URL: /design-studio hoặc /login
2. Quan sát</t>
  </si>
  <si>
    <t>Trang load đúng (SPA routing). Không trả 404 cho các route hợp lệ</t>
  </si>
  <si>
    <t>TC_ERR_F_001</t>
  </si>
  <si>
    <t>Error - Navigation</t>
  </si>
  <si>
    <t>404 → Click 'Về trang chủ'</t>
  </si>
  <si>
    <t>1. Truy cập URL không tồn tại
2. Click nút 'Về trang chủ'</t>
  </si>
  <si>
    <t>Redirect về /home/ thành công</t>
  </si>
  <si>
    <t>📌 Security</t>
  </si>
  <si>
    <t>TC_HOME_013</t>
  </si>
  <si>
    <t>Nhập prompt chứa ký tự đặc biệt và XSS</t>
  </si>
  <si>
    <t>1. Truy cập vào trang 
2. Nhập text: '&lt;script&gt;alert(1)&lt;/script&gt;' vào AI Input Box
3. Click Generate</t>
  </si>
  <si>
    <t>Hệ thống sanitize input. Không execute script. Prompt được escape đúng</t>
  </si>
  <si>
    <t>📌 Performance</t>
  </si>
  <si>
    <t>TC_ERR_UI_002</t>
  </si>
  <si>
    <t>Error - Network</t>
  </si>
  <si>
    <t>Mất kết nối mạng → thông báo</t>
  </si>
  <si>
    <t>1. Đang duyệt web
2. Ngắt kết nối mạng
3. Thực hiện thao tác</t>
  </si>
  <si>
    <t>Hiển thị toast/banner: 'Mất kết nối mạng' hoặc xử lý gracefully. Không blank screen</t>
  </si>
  <si>
    <t>TC_DS_UI_001</t>
  </si>
  <si>
    <t>DS - Chung</t>
  </si>
  <si>
    <t>US-DS-01</t>
  </si>
  <si>
    <t>DS Chung - Header</t>
  </si>
  <si>
    <t>Design Studio: Header hiển thị đầy đủ</t>
  </si>
  <si>
    <t>1. Mở Design Studio (click 'Thiết kế ngay')
2. Quan sát header</t>
  </si>
  <si>
    <t>Header hiển thị: ← 'Quay lại' (trái), Logo 'Tryonic' icon (trái), text 'Design Studio' (giữa), Credits badge + nút 'Chia sẻ' + icon User + icon Giỏ hàng (phải)</t>
  </si>
  <si>
    <t>TC_DS_UI_002</t>
  </si>
  <si>
    <t>Design Studio: Credits badge hiển thị số dư</t>
  </si>
  <si>
    <t>1. Mở Design Studio
2. Quan sát góc phải header</t>
  </si>
  <si>
    <t>Hiển thị: '12 Credits' + nút 'Chia sẻ' (thay vì Nạp). Credits badge có icon coin/circle</t>
  </si>
  <si>
    <t>TC_DS_UI_003</t>
  </si>
  <si>
    <t>DS - Sidebar</t>
  </si>
  <si>
    <t>US-DS-02</t>
  </si>
  <si>
    <t>Sidebar</t>
  </si>
  <si>
    <t>Design Studio: Sidebar trái hiển thị đầy đủ công cụ</t>
  </si>
  <si>
    <t>1. Mở Design Studio
2. Quan sát sidebar trái</t>
  </si>
  <si>
    <t>Hiển thị 7 công cụ theo thứ tự: Hoàn Tác, Làm Lại, Mặt Sau, Thu Phóng, Thư Viện, Thử Đồ với AI, Chia Sẻ. Mỗi công cụ có icon + text label. 'Thử Đồ với AI' disabled khi chưa có artwork</t>
  </si>
  <si>
    <t>TC_DS_UI_004</t>
  </si>
  <si>
    <t>DS - Canvas</t>
  </si>
  <si>
    <t>US-DS-03</t>
  </si>
  <si>
    <t>DS Chung - Canvas</t>
  </si>
  <si>
    <t>Design Studio: Canvas mockup áo mặc định</t>
  </si>
  <si>
    <t>1. Mở Design Studio
2. Quan sát canvas trung tâm</t>
  </si>
  <si>
    <t>Hiển thị mockup áo thun trắng trên nền xám. Vùng thiết kế được đánh dấu bằng đường nét đứt xanh cyan. Text hướng dẫn: 'Nhấn "Thêm Hình", "Thư Viện" hoặc "AI Artwork" để bắt đầu thiết kế'</t>
  </si>
  <si>
    <t>TC_DES_UI_031</t>
  </si>
  <si>
    <t>DS - Editor/Canvas</t>
  </si>
  <si>
    <t>US-15</t>
  </si>
  <si>
    <t>Editor - Canvas</t>
  </si>
  <si>
    <t>Canvas: Smart Guides (Bắt dính thông minh)</t>
  </si>
  <si>
    <t>1. Truy cập vào trang 
2. Kéo layer vào chính giữa Canvas (Vertical/Horizontal)\n2. Kéo ngang hàng với một layer khác</t>
  </si>
  <si>
    <t>Hiển thị các đường viền đỏ/xanh (Guides) tự động bắt dính báo hiệu layer đã vô giữa hoặc ngay ngắn</t>
  </si>
  <si>
    <t>TC_DES_UI_032</t>
  </si>
  <si>
    <t>Canvas: Keyboard Shortcuts cơ bản</t>
  </si>
  <si>
    <t>1. Truy cập vào trang 
2. Nhấn Delete/Backspace\n2. Nhấn Ctrl+Z / Ctrl+Y\n3. Nhấn Ctrl+C rồi Ctrl+V</t>
  </si>
  <si>
    <t>1. Layer bị xóa\n2. Undo/Redo chính xác\n3. Layer được copy/paste ngay cạnh layer gốc</t>
  </si>
  <si>
    <t>TC_DES_UI_029a</t>
  </si>
  <si>
    <t>Editor - Canvas Viewpoint</t>
  </si>
  <si>
    <t>Canvas: Zoom In / Zoom Out (bằng UI Buttons)</t>
  </si>
  <si>
    <t>1. Truy cập vào trang Editor
2. Click nút + (Zoom In) và nút - (Zoom Out) trên UI</t>
  </si>
  <si>
    <t>Canvas và các layer phóng to/thu nhỏ mượt mà. Tâm zoom focus vào giữa màn hình.</t>
  </si>
  <si>
    <t>TC_DES_UI_029b</t>
  </si>
  <si>
    <t>Canvas: Zoom In / Zoom Out (bằng Ctrl + Scroll)</t>
  </si>
  <si>
    <t>1. Truy cập vào trang Editor
2. Nhấn giữ phím Ctrl và lăn chuột lên (Zoom In) / xuống (Zoom Out)</t>
  </si>
  <si>
    <t>Canvas và các layer phóng to/thu nhỏ mức zoom tương ứng mượt mà. Tâm zoom focus vào vị trí con trỏ chuột.</t>
  </si>
  <si>
    <t>TC_DES_UI_030a</t>
  </si>
  <si>
    <t>Canvas: Pan (Di chuyển vùng nhìn bằng Space + Drag)</t>
  </si>
  <si>
    <t>1. Truy cập vào trang Editor và zoom canvas lớn hơn màn hình
2. Nhấn giữ phím Space và click kéo thả chuột (Drag)</t>
  </si>
  <si>
    <t>Con trỏ đổi thành hình bàn tay (hand tool). Vùng nhìn di chuyển mượt mà lên/xuống/trái/phải để xem các góc khác của thiết kế.</t>
  </si>
  <si>
    <t>TC_UIUX_003</t>
  </si>
  <si>
    <t>Verify Smart Guides magnetic alignment</t>
  </si>
  <si>
    <t>1. Truy cập vào trang 
2. Mở Editor
3. Kéo layer A di chuyển lại gần layer B / tâm canvas</t>
  </si>
  <si>
    <t>Chớp xuất hiện đường viền (guide) đỏ/xanh báo đã căn giữa/trái/phải</t>
  </si>
  <si>
    <t>TC_UIUX_004</t>
  </si>
  <si>
    <t>Verify Keyboard Shortcuts mapping</t>
  </si>
  <si>
    <t>1. Truy cập vào trang 
2. Mở Editor
3. Chọn layer Text
4. Nhấn Ctrl+C rồi Ctrl+V rồi Delete</t>
  </si>
  <si>
    <t>Copy ra layer mới và sau đó xóa layer thành công</t>
  </si>
  <si>
    <t>TC_UIUX_005</t>
  </si>
  <si>
    <t>US-16</t>
  </si>
  <si>
    <t>Verify Layer Opacity slider</t>
  </si>
  <si>
    <t>1. Truy cập vào trang 
2. Mở Editor
3. Chọn layer
4. Kéo thanh trượt thay đổi Opacity xuống 50%</t>
  </si>
  <si>
    <t>Layer trở nên trong suốt 50%, nhìn xuyên thấu xuống background</t>
  </si>
  <si>
    <t>TC_DES_UI_030b</t>
  </si>
  <si>
    <t>Canvas: Pan (Di chuyển vùng nhìn bằng Thanh Cuộn chuột/Scrollbars)</t>
  </si>
  <si>
    <t>1. Truy cập vào trang Editor và zoom canvas lớn hơn màn hình
2. Kéo thả các thanh scroll ngang/dọc trên màn hình (nếu có) hoặc dùng con lăn chuột</t>
  </si>
  <si>
    <t>Vùng nhìn di chuyển chính xác theo thanh cuộn hỗ trợ người dùng không quen phím tắt.</t>
  </si>
  <si>
    <t>TC_DES_UI_033</t>
  </si>
  <si>
    <t>Editor - Layers</t>
  </si>
  <si>
    <t>Layers: Điều chỉnh Opacity (Độ trong suốt)</t>
  </si>
  <si>
    <t>1. Truy cập vào trang 
2. Kéo thanh trượt Opacity xuống 50%\n2. Quan sát Canvas</t>
  </si>
  <si>
    <t>Layer mờ đi 50%, hiển thị nhạt và thấy được màu áo / layer bên dưới</t>
  </si>
  <si>
    <t>TC_DES_UI_026</t>
  </si>
  <si>
    <t>US-13</t>
  </si>
  <si>
    <t>Editor - UI/UX</t>
  </si>
  <si>
    <t>Editor page: Menu công cụ trái hiển thị đúng text</t>
  </si>
  <si>
    <t>1. Truy cập vào trang 
2. Quan sát cột bên trái</t>
  </si>
  <si>
    <t>Hiển thị các nút: 'Artwork của tôi', 'Thêm Text', 'Thêm Hình ảnh', 'Thêm Icon'</t>
  </si>
  <si>
    <t>TC_ర్ణDES_UI_027</t>
  </si>
  <si>
    <t>US-10</t>
  </si>
  <si>
    <t>Editor page: Panel cấu hình phải hiển thị đúng</t>
  </si>
  <si>
    <t>1. Truy cập vào trang 
2. Quan sát cột bên phải</t>
  </si>
  <si>
    <t>Hiển thị tên SP (VD: 'T-shirt Premium Cotton'), Màu sắc (White, Black, Navy, Grey), Kích thước (S-2XL), Giá (VD: '349.000 đ'), nút 'Thêm vào giỏ hàng'</t>
  </si>
  <si>
    <t>TC_DES_UI_028</t>
  </si>
  <si>
    <t>Editor page: Empty state màn hình Artwork của tôi</t>
  </si>
  <si>
    <t>1. Truy cập vào trang 
2. Click 'Artwork của tôi'</t>
  </si>
  <si>
    <t>Hiển thị: 'Kho thiết kế trống trơn'. Subtext: 'Tạo artwork từ AI hoặc upload thiết kế từ máy tính'. Nút: 'Tạo AI Artwork', 'Upload Design'</t>
  </si>
  <si>
    <t>TC_DS_UI_860</t>
  </si>
  <si>
    <t>Design Studio: Browser Zoom In/Out (50%-200%)</t>
  </si>
  <si>
    <t>1. Truy cập trang Design Studio.
2. Nhấn Ctrl + [+] Zoom 200%.
3. Nhấn Ctrl + [-] Zoom 50%.</t>
  </si>
  <si>
    <t>Canvas, sidebar, panel phải vẫn hiển thị đúng tỷ lệ. Nút 'Đặt hàng' không bị che khuất</t>
  </si>
  <si>
    <t>TC_EDI_UI_807</t>
  </si>
  <si>
    <t>Màn hình Editor: Browser Zoom In/Out (50% - 200%) giữ nguyên layout</t>
  </si>
  <si>
    <t>1. Truy cập trang Editor.
2. Nhấn Ctrl/Cmd + [+] để Zoom In 200%.
3. Nhấn Ctrl/Cmd + [-] để Zoom Out 50%.
4. Cuộn và quan sát toàn màn hình.</t>
  </si>
  <si>
    <t>TC_GAL_UI_805</t>
  </si>
  <si>
    <t>Màn hình Gallery: Browser Zoom In/Out (50% - 200%) giữ nguyên layout</t>
  </si>
  <si>
    <t>1. Truy cập trang Gallery.
2. Nhấn Ctrl/Cmd + [+] để Zoom In 200%.
3. Nhấn Ctrl/Cmd + [-] để Zoom Out 50%.
4. Cuộn và quan sát toàn màn hình.</t>
  </si>
  <si>
    <t>TC_DS_UI_005</t>
  </si>
  <si>
    <t>US-DS-04</t>
  </si>
  <si>
    <t>DS Chung - AI Panel</t>
  </si>
  <si>
    <t>Design Studio: Panel AI hiển thị đúng (luôn hiển thị bên phải)</t>
  </si>
  <si>
    <t>1. Mở Design Studio
2. Quan sát panel phải</t>
  </si>
  <si>
    <t>AI Artwork Panel luôn hiển thị mặc định bên phải. Khi chọn text element → TextEditingPanel hiển thị. Khi chọn image → ImageSettingsPanel hiển thị. Không có hệ thống tabs. Sản phẩm chọn qua ProductSelectorModal (popup), Đặt hàng qua OrderModal (popup từ StatusBar)</t>
  </si>
  <si>
    <t>TC_DS_UI_008</t>
  </si>
  <si>
    <t>DS - StatusBar</t>
  </si>
  <si>
    <t>US-DS-05</t>
  </si>
  <si>
    <t>DS Chung - Bottom Bar</t>
  </si>
  <si>
    <t>Design Studio: Bottom bar hiển thị thông tin sản phẩm</t>
  </si>
  <si>
    <t>1. Mở Design Studio
2. Quan sát thanh đáy</t>
  </si>
  <si>
    <t>Hiển thị: Tên SP + Màu + Size + print info. Link 'Đổi sản phẩm' → mở ProductSelectorModal. 'Tạm tính: 150.000đ' + popover chi tiết giá (Giá áo 120K, Phí in DTG 30K, Phí thiết kế 5K). Nút 'Đặt hàng' → mở OrderModal. Desktop only (hidden lg:flex)</t>
  </si>
  <si>
    <t>TC_DSP_UI_001</t>
  </si>
  <si>
    <t>DS - Popup Sản phẩm</t>
  </si>
  <si>
    <t>DS Sản phẩm - Modal</t>
  </si>
  <si>
    <t>Popup Sản phẩm (ProductSelectorModal): Nội dung panel hiển thị đầy đủ</t>
  </si>
  <si>
    <t>1. Mở Design Studio
2. Mở popup đổi sản phẩm (ProductSelectorModal)
3. Quan sát nội dung panel</t>
  </si>
  <si>
    <t>Hiển thị danh sách sản phẩm áo thun (grid hoặc list). Mỗi sản phẩm có ảnh thumbnail, tên, giá. Color picker và Size selector hiển thị rõ ràng</t>
  </si>
  <si>
    <t>TC_DSP_UI_002</t>
  </si>
  <si>
    <t>Color picker hiển thị đầy đủ màu sắc</t>
  </si>
  <si>
    <t>1. Mở Design Studio → Popup Sản phẩm (ProductSelectorModal)
2. Quan sát phần chọn màu</t>
  </si>
  <si>
    <t>Hiển thị các toggle/swatch màu (Trắng, Đen, v.v.). Màu đang chọn có viền/highlight. Touch target đủ lớn (≥44px)</t>
  </si>
  <si>
    <t>TC_DSP_UI_003</t>
  </si>
  <si>
    <t>Size selector hiển thị đầy đủ sizes</t>
  </si>
  <si>
    <t>1. Mở Design Studio → Popup Sản phẩm (ProductSelectorModal)
2. Quan sát phần chọn size</t>
  </si>
  <si>
    <t>Hiển thị các size: S, M, L, XL. Size đang chọn có highlight/active state. Font rõ ràng, dễ đọc</t>
  </si>
  <si>
    <t>TC_DSP_UI_005</t>
  </si>
  <si>
    <t>Nút 'Đổi sản phẩm' hiển thị rõ ràng</t>
  </si>
  <si>
    <t>1. Mở Design Studio → Popup Sản phẩm (ProductSelectorModal)
2. Quan sát nút 'Đổi sản phẩm'</t>
  </si>
  <si>
    <t>Nút 'Đổi sản phẩm' hiển thị: text rõ ràng, có icon (nếu có), clickable (cursor pointer). Vị trí dễ tìm trong panel</t>
  </si>
  <si>
    <t>TC_DSP_UI_006</t>
  </si>
  <si>
    <t>Nút 'Gợi ý size' hiển thị rõ ràng</t>
  </si>
  <si>
    <t>1. Mở Design Studio → Popup Sản phẩm (ProductSelectorModal)
2. Quan sát nút 'Gợi ý size'</t>
  </si>
  <si>
    <t>Nút 'Gợi ý size' hiển thị: text rõ ràng, vị trí gần size selector. Cursor pointer khi hover</t>
  </si>
  <si>
    <t>TC_DSP_UI_004</t>
  </si>
  <si>
    <t>Sản phẩm được chọn có highlight</t>
  </si>
  <si>
    <t>1. Mở Design Studio → Popup Sản phẩm (ProductSelectorModal)
2. Quan sát sản phẩm đang active</t>
  </si>
  <si>
    <t>Sản phẩm hiện tại có viền/border highlight hoặc background khác biệt so với các sản phẩm khác</t>
  </si>
  <si>
    <t>TC_FT_UI_001</t>
  </si>
  <si>
    <t>Footer - Sản phẩm</t>
  </si>
  <si>
    <t>Cột 'Sản phẩm' hiển thị 4 links</t>
  </si>
  <si>
    <t>1. Truy cập trang Home
2. Scroll xuống Footer
3. Quan sát cột 'Sản phẩm'</t>
  </si>
  <si>
    <t>Heading 'SẢN PHẨM' (uppercase, trắng, bold). 4 links: 'Áo thun', 'Polo', 'Tạo AI Artwork', 'Thư viện mẫu'. Mỗi link hover → teal (#0D9488). Tất cả trỏ về /studio</t>
  </si>
  <si>
    <t>TC_DSA_UI_001</t>
  </si>
  <si>
    <t>DS - Thư viện Mẫu</t>
  </si>
  <si>
    <t>DS Thư viện - Library Panel</t>
  </si>
  <si>
    <t>Thư viện ảnh (LibraryPanel): Upload zone hiển thị</t>
  </si>
  <si>
    <t>1. Mở Design Studio
2. Mở thư viện ảnh (LibraryPanel từ sidebar)
3. Quan sát panel</t>
  </si>
  <si>
    <t>Hiển thị upload zone (drag &amp; drop area) với icon upload, text hướng dẫn 'Kéo thả hoặc click để tải ảnh'. Hiển thị formats được chấp nhận (PNG, JPG, WebP, SVG)</t>
  </si>
  <si>
    <t>TC_DSA_UI_003</t>
  </si>
  <si>
    <t>Ảnh đã upload hiển thị dạng grid/thumbnail</t>
  </si>
  <si>
    <t>1. Upload 2-3 ảnh vào thư viện ảnh
2. Quan sát danh sách ảnh</t>
  </si>
  <si>
    <t>Ảnh hiển thị dạng grid thumbnail. Mỗi ảnh có preview, tên file. Có nút xóa (icon trash/X) cho từng ảnh</t>
  </si>
  <si>
    <t>TC_DSTV_UI_001</t>
  </si>
  <si>
    <t>Thư viện mẫu (LibraryPanel): Template grid hiển thị đầy đủ</t>
  </si>
  <si>
    <t>1. Mở Design Studio
2. Mở thư viện mẫu (LibraryPanel từ sidebar)
3. Quan sát panel</t>
  </si>
  <si>
    <t>Hiển thị grid các template mẫu. Mỗi template có ảnh preview thumbnail, tên mẫu. Grid responsive, không bị tràn</t>
  </si>
  <si>
    <t>TC_DSA_UI_002</t>
  </si>
  <si>
    <t>Empty state khi chưa có ảnh</t>
  </si>
  <si>
    <t>1. Mở Design Studio
2. Mở thư viện ảnh (LibraryPanel từ sidebar) (lần đầu, chưa upload)</t>
  </si>
  <si>
    <t>Hiển thị empty state: icon upload + text 'Tải lên hình ảnh từ thiết bị của bạn'. Nút 'Tải ảnh lên' hiển thị rõ ràng, clickable</t>
  </si>
  <si>
    <t>TC_DSTV_UI_002</t>
  </si>
  <si>
    <t>Template preview ảnh rõ nét</t>
  </si>
  <si>
    <t>1. Mở DS → Thư viện mẫu (LibraryPanel)
2. Quan sát quality ảnh thumbnail</t>
  </si>
  <si>
    <t>Ảnh preview đủ rõ để nhận biết mẫu. Không bị blur/pixelated. Loading placeholder hiển thị khi ảnh chưa load xong</t>
  </si>
  <si>
    <t>TC_DSTV_UI_003</t>
  </si>
  <si>
    <t>Hover effect trên template cards</t>
  </si>
  <si>
    <t>1. Mở DS → Thư viện mẫu (LibraryPanel)
2. Hover chuột qua template card</t>
  </si>
  <si>
    <t>Card có hover effect (shadow, scale, overlay). Cursor chuyển sang pointer</t>
  </si>
  <si>
    <t>TC_MYDES_UI_002</t>
  </si>
  <si>
    <t>MH My Designs</t>
  </si>
  <si>
    <t>US-18</t>
  </si>
  <si>
    <t>My Designs - Empty</t>
  </si>
  <si>
    <t>Empty state khi chưa có thiết kế</t>
  </si>
  <si>
    <t>1. Đăng nhập user mới
2. Mở My Designs</t>
  </si>
  <si>
    <t>Hiển thị: 'Bạn chưa có thiết kế nào' + nút 'Tạo thiết kế mới'</t>
  </si>
  <si>
    <t>TC_MYDES_UI_001</t>
  </si>
  <si>
    <t>My Designs - Layout</t>
  </si>
  <si>
    <t>MH My Designs: Grid thiết kế đã lưu</t>
  </si>
  <si>
    <t>1. Đăng nhập → Vào My Designs
2. Quan sát layout</t>
  </si>
  <si>
    <t>Hiển thị grid/list các thiết kế đã lưu. Mỗi item có: ảnh preview mockup, tên thiết kế, ngày tạo/sửa, nút chỉnh sửa/xóa</t>
  </si>
  <si>
    <t>TC_FT_UI_005</t>
  </si>
  <si>
    <t>Footer - Bottom</t>
  </si>
  <si>
    <t>Bottom bar: Logo + copyright + policy links</t>
  </si>
  <si>
    <t>1. Quan sát bottom bar Footer</t>
  </si>
  <si>
    <t>Hiển thị: Logo gradient teal 'T' + text 'Shop Tryonic', '© 2026 Shop Tryonic — Mọi quyền được bảo lưu.', 2 links: 'Bảo mật' → /pages/chinh-sach-bao-mat, 'Đổi trả' → /pages/chinh-sach-doi-tra</t>
  </si>
  <si>
    <t>TC_FT_UI_002</t>
  </si>
  <si>
    <t>Footer - Chính sách</t>
  </si>
  <si>
    <t>Cột 'Chính sách' hiển thị 5 links</t>
  </si>
  <si>
    <t>1. Quan sát cột 'Chính sách' trong Footer</t>
  </si>
  <si>
    <t>Heading 'CHÍNH SÁCH'. 5 links: 'Hướng dẫn mua hàng' → /pages/huong-dan-mua-hang, 'Chính sách thanh toán' → /pages/chinh-sach-thanh-toan, 'Chính sách vận chuyển' → /pages/chinh-sach-van-chuyen, 'Chính sách đổi trả' → /pages/chinh-sach-doi-tra, 'Bảo mật thông tin' → /pages/chinh-sach-bao-mat</t>
  </si>
  <si>
    <t>TC_FT_UI_003</t>
  </si>
  <si>
    <t>Footer - Hỗ trợ</t>
  </si>
  <si>
    <t>Cột 'Hỗ trợ' hiển thị 3 links</t>
  </si>
  <si>
    <t>1. Quan sát cột 'Hỗ trợ' trong Footer</t>
  </si>
  <si>
    <t>Heading 'HỖ TRỢ'. 3 links: 'Theo dõi đơn hàng' → /studio/my-orders, 'Câu hỏi thường gặp' → #, 'Liên hệ CSKH' → #</t>
  </si>
  <si>
    <t>TC_FT_UI_006</t>
  </si>
  <si>
    <t>Footer - Layout</t>
  </si>
  <si>
    <t>Footer responsive 4 cột grid</t>
  </si>
  <si>
    <t>1. Quan sát Footer trên desktop
2. Resize mobile</t>
  </si>
  <si>
    <t>Desktop: 4 cột grid (md:grid-cols-4). Mobile: 2 cột (grid-cols-2). Background bg-slate-900, text gray-300</t>
  </si>
  <si>
    <t>TC_FT_UI_004</t>
  </si>
  <si>
    <t>Footer - Liên hệ</t>
  </si>
  <si>
    <t>Cột 'Liên hệ' hiển thị 4 items</t>
  </si>
  <si>
    <t>1. Quan sát cột 'Liên hệ' trong Footer</t>
  </si>
  <si>
    <t>Heading 'LIÊN HỆ'. 4 items với icon teal: 📞 '1900 xxxx', ✉️ 'support@tryonic.ai', 💬 'Zalo: Shop Tryonic', 📍 'TP. Hồ Chí Minh, Việt Nam'</t>
  </si>
  <si>
    <t>TC_DS_UI_864</t>
  </si>
  <si>
    <t>DS - Responsive</t>
  </si>
  <si>
    <t>Design Studio: Responsive Android Tablet (Portrait)</t>
  </si>
  <si>
    <t>1. Truy cập Design Studio trên Tablet Android Portrait.</t>
  </si>
  <si>
    <t>Tương tự iPad. Icon và text sidebar scale đúng. Touch targets đủ lớn</t>
  </si>
  <si>
    <t>TC_EDI_UI_828</t>
  </si>
  <si>
    <t>Màn hình Editor: Responsive trên Android Tablet (Chrome, Dọc - Portrait)</t>
  </si>
  <si>
    <t>1. Truy cập trang Editor trên Tablet Android ở chế độ cầm dọc (Portrait).
2. Thao tác trên giao diện.</t>
  </si>
  <si>
    <t>TC_GAL_UI_823</t>
  </si>
  <si>
    <t>Màn hình Gallery: Responsive trên Android Tablet (Chrome, Dọc - Portrait)</t>
  </si>
  <si>
    <t>1. Truy cập trang Gallery trên Tablet Android ở chế độ cầm dọc (Portrait).
2. Thao tác trên giao diện.</t>
  </si>
  <si>
    <t>TC_DS_UI_862</t>
  </si>
  <si>
    <t>Design Studio: Responsive Android Phone (Portrait)</t>
  </si>
  <si>
    <t>1. Truy cập Design Studio trên Android Portrait.
2. Focus vào textarea (bàn phím ảo).</t>
  </si>
  <si>
    <t>Tương tự iPhone. Bàn phím ảo không che khuất nút 'Tạo Artwork Mới'. Scrollable nếu cần</t>
  </si>
  <si>
    <t>TC_EDI_UI_826</t>
  </si>
  <si>
    <t>Màn hình Editor: Responsive trên Android Phone (Chrome, Dọc - Portrait)</t>
  </si>
  <si>
    <t>1. Truy cập trang Editor trên điện thoại Android chế độ cầm dọc (Portrait).
2. Cuộn lên/xuống toàn bộ trang.
3. Focus vào các input (bàn phím ảo hiện lên).</t>
  </si>
  <si>
    <t>Bố cục hoàn toàn responsive (tương tự iPhone). Đảm bảo thanh bar dưới cùng của trình duyệt Android hoặc bàn phím ảo không che khuất các nút CTA quan trọng. Màn hình không bị giật/nháy (flicker).</t>
  </si>
  <si>
    <t>TC_GAL_UI_821</t>
  </si>
  <si>
    <t>Màn hình Gallery: Responsive trên Android Phone (Chrome, Dọc - Portrait)</t>
  </si>
  <si>
    <t>1. Truy cập trang Gallery trên điện thoại Android chế độ cầm dọc (Portrait).
2. Cuộn lên/xuống toàn bộ trang.
3. Focus vào các input (bàn phím ảo hiện lên).</t>
  </si>
  <si>
    <t>TC_DS_UI_865</t>
  </si>
  <si>
    <t>Design Studio: Responsive Landscape</t>
  </si>
  <si>
    <t>1. Xoay ngang thiết bị từ trạng thái dọc.
2. Quan sát chuyển đổi layout.</t>
  </si>
  <si>
    <t>Canvas resize mượt mà. Sidebar + Panel không bị tràn. Bottom bar vẫn hiển thị đầy đủ (giá + nút Đặt hàng)</t>
  </si>
  <si>
    <t>TC_EDI_UI_829</t>
  </si>
  <si>
    <t>Màn hình Editor: Responsive chế độ Xoay Ngang (Landscape - Điện thoại/Tablet)</t>
  </si>
  <si>
    <t>UI tự động sắp xếp lại chiều ngang phù hợp. Ở điện thoại, Sticky Footer/Header không chiếm quá nhiều không gian theo chiều dọc (để lại đủ không gian hiển thị nội dung). Không bị lủng layout trong lúc/sau khi xoay.</t>
  </si>
  <si>
    <t>TC_GAL_UI_824</t>
  </si>
  <si>
    <t>Màn hình Gallery: Responsive chế độ Xoay Ngang (Landscape - Điện thoại/Tablet)</t>
  </si>
  <si>
    <t>TC_DS_UI_863</t>
  </si>
  <si>
    <t>Design Studio: Responsive iPad (Portrait)</t>
  </si>
  <si>
    <t>1. Truy cập Design Studio trên iPad Portrait.
2. Quan sát layout 3 cột.</t>
  </si>
  <si>
    <t>Layout 3 cột (sidebar + canvas + panel) giữ nguyên hoặc chuyển 2 cột hợp lý. Canvas không bị thu quá nhỏ</t>
  </si>
  <si>
    <t>TC_EDI_UI_827</t>
  </si>
  <si>
    <t>Màn hình Editor: Responsive trên iPad (Safari, Dọc - Portrait)</t>
  </si>
  <si>
    <t>1. Truy cập trang Editor trên iPad ở chế độ cầm dọc (Portrait).
2. Quan sát bố cục.</t>
  </si>
  <si>
    <t>Màn hình căn giữa hợp lý hoặc duy trì layout multi-column của Desktop nếu đủ không gian. Không bị rớt nút, không bị trải rộng (stretch) hình ảnh quá mức làm nhòa tỷ lệ.</t>
  </si>
  <si>
    <t>TC_GAL_UI_822</t>
  </si>
  <si>
    <t>Màn hình Gallery: Responsive trên iPad (Safari, Dọc - Portrait)</t>
  </si>
  <si>
    <t>1. Truy cập trang Gallery trên iPad ở chế độ cầm dọc (Portrait).
2. Quan sát bố cục.</t>
  </si>
  <si>
    <t>TC_DS_UI_861</t>
  </si>
  <si>
    <t>Design Studio: Responsive iPhone (Portrait)</t>
  </si>
  <si>
    <t>1. Truy cập Design Studio trên iPhone Portrait.
2. Thao tác trên canvas, sidebar, panel.</t>
  </si>
  <si>
    <t>Layout chuyển sang mobile: sidebar collapse hoặc bottom nav. Panel phải chuyển thành bottom sheet hoặc full-screen overlay. Canvas vẫn thao tác được</t>
  </si>
  <si>
    <t>TC_EDI_UI_825</t>
  </si>
  <si>
    <t>Màn hình Editor: Responsive trên iPhone (Safari/Chrome, Dọc - Portrait)</t>
  </si>
  <si>
    <t>1. Truy cập trang Editor trên iPhone ở chế độ cầm dọc (Portrait).
2. Cuộn lên/xuống toàn trang.
3. Tap thử các nút bấm, input field.</t>
  </si>
  <si>
    <t>Không xuất hiện thanh cuộn ngang thừa. Các khối nội dung hiển thị cột đơn (stacking). Các nút bấm (Touch Targets) không quá nhỏ, không nằm sát mép màn hình (có padding viền an toàn hợp lý).</t>
  </si>
  <si>
    <t>TC_GAL_UI_820</t>
  </si>
  <si>
    <t>Màn hình Gallery: Responsive trên iPhone (Safari/Chrome, Dọc - Portrait)</t>
  </si>
  <si>
    <t>1. Truy cập trang Gallery trên iPhone ở chế độ cầm dọc (Portrait).
2. Cuộn lên/xuống toàn trang.
3. Tap thử các nút bấm, input field.</t>
  </si>
  <si>
    <t>TC_DS_016</t>
  </si>
  <si>
    <t>Click 'Hoàn Tác' khi không có action nào</t>
  </si>
  <si>
    <t>1. Mở Design Studio (canvas trống, chưa thao tác)
2. Click icon 'Hoàn Tác'</t>
  </si>
  <si>
    <t>Nút Undo disabled hoặc không có phản hồi. Không crash. Không thay đổi canvas</t>
  </si>
  <si>
    <t>TC_DS_SC_038</t>
  </si>
  <si>
    <t>Canvas - Undo</t>
  </si>
  <si>
    <t>Nút Undo disabled khi history rỗng</t>
  </si>
  <si>
    <t>1. Mở DS mới (chưa thao tác)
2. Quan sát nút Undo trên sidebar</t>
  </si>
  <si>
    <t>Nút Undo có opacity-40 (mờ). Click không có hiệu ứng. canUndo = false</t>
  </si>
  <si>
    <t>TC_DS_SC_039</t>
  </si>
  <si>
    <t>Nút Redo disabled khi không có undo</t>
  </si>
  <si>
    <t>1. Mở DS mới hoặc sau khi thêm element (chưa undo)
2. Quan sát nút Redo</t>
  </si>
  <si>
    <t>Nút Redo có opacity-40 (mờ). canRedo = false</t>
  </si>
  <si>
    <t>TC_DES_020</t>
  </si>
  <si>
    <t>US-17</t>
  </si>
  <si>
    <t>Editor - History</t>
  </si>
  <si>
    <t>Undo khi không có history</t>
  </si>
  <si>
    <t>✅ Boundary</t>
  </si>
  <si>
    <t>1. Truy cập vào trang 
2. Click Undo</t>
  </si>
  <si>
    <t>Undo disabled hoặc không có hiệu ứng</t>
  </si>
  <si>
    <t>TC_DES_022</t>
  </si>
  <si>
    <t>Editor - Save</t>
  </si>
  <si>
    <t>Save design khi Guest → yêu cầu login</t>
  </si>
  <si>
    <t>1. Truy cập vào trang 
2. Click 'Save'</t>
  </si>
  <si>
    <t>Hiện popup login. Sau login → save + migrate</t>
  </si>
  <si>
    <t>TC_DES_010</t>
  </si>
  <si>
    <t>US-14</t>
  </si>
  <si>
    <t>Editor - Text</t>
  </si>
  <si>
    <t>Text rỗng</t>
  </si>
  <si>
    <t>1. Truy cập vào trang 
2. Click 'Add Text'
3. Không nhập gì
4. Click ra ngoài</t>
  </si>
  <si>
    <t>Không tạo layer rỗng hoặc tự xóa layer trống</t>
  </si>
  <si>
    <t>TC_DES_011</t>
  </si>
  <si>
    <t>Text rất dài (500+ ký tự)</t>
  </si>
  <si>
    <t>1. Truy cập vào trang 
2. Nhập text 500 ký tự</t>
  </si>
  <si>
    <t>Text wrap hoặc warning. Không vỡ canvas</t>
  </si>
  <si>
    <t>TC_DSP_V_001</t>
  </si>
  <si>
    <t>Chọn size không có sẵn (nếu hết hàng)</t>
  </si>
  <si>
    <t>1. Mở Design Studio → Popup Sản phẩm (ProductSelectorModal)
2. Click size bị disabled/hết hàng</t>
  </si>
  <si>
    <t>Size không thể chọn. Hiển thị tooltip/thông báo 'Hết hàng' hoặc size bị gạch bỏ (strikethrough). Không crash</t>
  </si>
  <si>
    <t>TC_DSP_V_002</t>
  </si>
  <si>
    <t>Chuyển tab khác rồi quay lại 'SẢN PHẨM' — trạng thái giữ nguyên</t>
  </si>
  <si>
    <t>1. Mở DS → Popup Sản phẩm (ProductSelectorModal) → Chọn màu Đen, size XL
2. Chuyển sang AI Panel
3. Quay lại popup sản phẩm</t>
  </si>
  <si>
    <t>Màu Đen và size XL vẫn được giữ nguyên. Không reset về mặc định</t>
  </si>
  <si>
    <t>TC_DES_003</t>
  </si>
  <si>
    <t>DS - Thư viện Ảnh</t>
  </si>
  <si>
    <t>Editor - Upload</t>
  </si>
  <si>
    <t>Upload file &gt; 25MB</t>
  </si>
  <si>
    <t>1. Truy cập vào trang 
2. Click Upload
3. Chọn file 30MB</t>
  </si>
  <si>
    <t>Hiển thị lỗi: 'File vượt quá 25MB'</t>
  </si>
  <si>
    <t>TC_DES_004</t>
  </si>
  <si>
    <t>Upload file format không hỗ trợ (PDF)</t>
  </si>
  <si>
    <t>1. Truy cập vào trang 
2. Click Upload
3. Chọn file PDF</t>
  </si>
  <si>
    <t>Hiển thị lỗi: 'Chỉ hỗ trợ PNG/JPG'</t>
  </si>
  <si>
    <t>TC_DES_006</t>
  </si>
  <si>
    <t>Upload ảnh &lt; 150 DPI - cảnh báo chất lượng</t>
  </si>
  <si>
    <t>1. Truy cập vào trang 
2. Upload ảnh 72 DPI</t>
  </si>
  <si>
    <t>Hiển thị warning: 'Low Quality - May be blurry when printed'</t>
  </si>
  <si>
    <t>TC_DES_005</t>
  </si>
  <si>
    <t>Upload file 0KB (empty)</t>
  </si>
  <si>
    <t>1. Truy cập vào trang 
2. Upload file rỗng</t>
  </si>
  <si>
    <t>Hiển thị lỗi file không hợp lệ</t>
  </si>
  <si>
    <t>TC_DES_007</t>
  </si>
  <si>
    <t>Upload file boundary = 25MB</t>
  </si>
  <si>
    <t>1. Truy cập vào trang 
2. Upload file đúng 25MB</t>
  </si>
  <si>
    <t>Upload thành công (= max cho phép)</t>
  </si>
  <si>
    <t>TC_DSA_V_001</t>
  </si>
  <si>
    <t>Upload file định dạng không hỗ trợ (.gif, .pdf, .docx)</t>
  </si>
  <si>
    <t>1. Mở DS → Thư viện ảnh (LibraryPanel)
2. Upload file .gif hoặc .pdf</t>
  </si>
  <si>
    <t>Hiển thị thông báo lỗi: 'Định dạng không được hỗ trợ. Chỉ chấp nhận PNG, JPG, SVG'. File không được upload</t>
  </si>
  <si>
    <t>TC_DSA_V_002</t>
  </si>
  <si>
    <t>Upload ảnh quá kích thước giới hạn</t>
  </si>
  <si>
    <t>1. Mở DS → Thư viện ảnh (LibraryPanel)
2. Upload ảnh &gt; 10MB (hoặc giới hạn server)</t>
  </si>
  <si>
    <t>Hiển thị thông báo lỗi: 'File quá lớn. Kích thước tối đa X MB'. File không được upload. Không crash</t>
  </si>
  <si>
    <t>TC_DSTV_V_001</t>
  </si>
  <si>
    <t>Double-click template không gây duplicate</t>
  </si>
  <si>
    <t>1. Mở DS → Thư viện mẫu (LibraryPanel)
2. Double-click nhanh vào template</t>
  </si>
  <si>
    <t>Template chỉ được apply 1 lần. Không tạo duplicate element trên canvas. Không crash</t>
  </si>
  <si>
    <t>TC_DSA_V_003</t>
  </si>
  <si>
    <t>Upload ảnh có tên chứa ký tự đặc biệt</t>
  </si>
  <si>
    <t>1. Mở DS → Thư viện ảnh (LibraryPanel)
2. Upload ảnh tên: 'ảnh@#test (1).png'</t>
  </si>
  <si>
    <t>Upload thành công hoặc hiển thị lỗi rõ ràng. Không crash, không lỗi server 500</t>
  </si>
  <si>
    <t>TC_DSTV_V_002</t>
  </si>
  <si>
    <t>Template load fail → Error state hiển thị</t>
  </si>
  <si>
    <t>1. Mở DS → Thư viện mẫu (LibraryPanel) (mạng chậm/lỗi)
2. Click template bị lỗi load</t>
  </si>
  <si>
    <t>Hiển thị error message hoặc placeholder broken image. Không crash. Có thể retry</t>
  </si>
  <si>
    <t>TC_TEM_003</t>
  </si>
  <si>
    <t>DS - Gallery</t>
  </si>
  <si>
    <t>US-06</t>
  </si>
  <si>
    <t>Gallery - Browse</t>
  </si>
  <si>
    <t>Gallery load hình bị lỗi/broken</t>
  </si>
  <si>
    <t>1. Truy cập vào trang 
2. Mở /templates</t>
  </si>
  <si>
    <t>Hiển thị placeholder image. Không crash page</t>
  </si>
  <si>
    <t>TC_TEM_009</t>
  </si>
  <si>
    <t>US-08</t>
  </si>
  <si>
    <t>Gallery - Filter</t>
  </si>
  <si>
    <t>Lọc category không có template</t>
  </si>
  <si>
    <t>✅ Edge Case</t>
  </si>
  <si>
    <t>1. Truy cập vào trang 
2. Chọn category trống</t>
  </si>
  <si>
    <t>Hiển thị empty state</t>
  </si>
  <si>
    <t>TC_TEM_005</t>
  </si>
  <si>
    <t>US-07</t>
  </si>
  <si>
    <t>Gallery - Search</t>
  </si>
  <si>
    <t>Tìm kiếm keyword không khớp</t>
  </si>
  <si>
    <t>1. Truy cập vào trang 
2. Search 'xyznotexist'</t>
  </si>
  <si>
    <t>Hiển thị: 'Không tìm thấy template phù hợp'</t>
  </si>
  <si>
    <t>TC_TEM_006</t>
  </si>
  <si>
    <t>Tìm kiếm keyword rỗng</t>
  </si>
  <si>
    <t>1. Truy cập vào trang 
2. Search với text rỗng</t>
  </si>
  <si>
    <t>Hiển thị tất cả templates (hoặc không thay đổi)</t>
  </si>
  <si>
    <t>TC_PRO_009</t>
  </si>
  <si>
    <t>DS - Smart Fit</t>
  </si>
  <si>
    <t>US-12b</t>
  </si>
  <si>
    <t>Smart Fit - AI</t>
  </si>
  <si>
    <t>Gợi ý size - BMI cao</t>
  </si>
  <si>
    <t>1. Truy cập vào trang 
2. Nhập H:160, W:100
3. Click 'Gợi ý'</t>
  </si>
  <si>
    <t>Gợi ý size 2XL hoặc thông báo vượt range</t>
  </si>
  <si>
    <t>TC_PRO_010</t>
  </si>
  <si>
    <t>Gợi ý size - input rỗng</t>
  </si>
  <si>
    <t>1. Truy cập vào trang 
2. Không nhập gì
3. Click 'Gợi ý'</t>
  </si>
  <si>
    <t>Hiển thị lỗi: 'Vui lòng nhập đủ thông tin'</t>
  </si>
  <si>
    <t>TC_PRO_011</t>
  </si>
  <si>
    <t>Gợi ý size - input chữ vào field số</t>
  </si>
  <si>
    <t>1. Truy cập vào trang 
2. Nhập H: abc
3. Click 'Gợi ý'</t>
  </si>
  <si>
    <t>Validation: chỉ nhận số</t>
  </si>
  <si>
    <t>TC_DS_SC_034</t>
  </si>
  <si>
    <t>TryOn Modal</t>
  </si>
  <si>
    <t>'Thử Đồ với AI' disabled khi chưa có design</t>
  </si>
  <si>
    <t>1. Mở DS (canvas trống, không có artwork)
2. Quan sát sidebar nút 'Thử Đồ với AI'</t>
  </si>
  <si>
    <t>Nút disabled (opacity mờ). Tooltip: 'Cần có thiết kế để thử đồ'. Không mở TryOn Modal</t>
  </si>
  <si>
    <t>TC_DS_SC_018</t>
  </si>
  <si>
    <t>Auth Modal</t>
  </si>
  <si>
    <t>Submit form trống → validation error</t>
  </si>
  <si>
    <t>1. Mở InlineAuthModal
2. Không nhập gì → Click 'Đăng nhập'</t>
  </si>
  <si>
    <t>Hiển thị error: 'Vui lòng điền đầy đủ thông tin'. Error box bg-red-50, border-red-100, icon AlertCircle</t>
  </si>
  <si>
    <t>TC_DS_001</t>
  </si>
  <si>
    <t>Click 'Quay lại' từ Design Studio về trang chủ</t>
  </si>
  <si>
    <t>1. Mở Design Studio
2. Click '← Quay lại'</t>
  </si>
  <si>
    <t>Chuyển về trang /home/. Design Studio đóng lại</t>
  </si>
  <si>
    <t>TC_DS_008a</t>
  </si>
  <si>
    <t>Click icon User khi đã đăng nhập</t>
  </si>
  <si>
    <t>1. Đăng nhập → Mở Design Studio
2. Click icon User (góc phải header)</t>
  </si>
  <si>
    <t>Mở trang profile/account. Hiển thị thông tin tài khoản</t>
  </si>
  <si>
    <t>TC_DS_008b</t>
  </si>
  <si>
    <t>Click icon User khi chưa đăng nhập</t>
  </si>
  <si>
    <t>1. Truy cập Guest → Mở Design Studio
2. Click icon User (góc phải header)</t>
  </si>
  <si>
    <t>Hiển thị popup login. Cho phép đăng nhập hoặc đăng ký</t>
  </si>
  <si>
    <t>TC_DS_009</t>
  </si>
  <si>
    <t>Click icon Giỏ hàng trên header</t>
  </si>
  <si>
    <t>1. Mở Design Studio
2. Click icon Giỏ hàng (góc phải header)</t>
  </si>
  <si>
    <t>Mở trang giỏ hàng hoặc sidebar cart. Hiển thị số lượng items (badge)</t>
  </si>
  <si>
    <t>TC_DS_010</t>
  </si>
  <si>
    <t>Click nút 'Nạp' credits</t>
  </si>
  <si>
    <t>1. Mở Design Studio
2. Click nút 'Nạp' bên cạnh credits</t>
  </si>
  <si>
    <t>Hiển thị tooltip thông tin credits. Không mở trang nạp riêng</t>
  </si>
  <si>
    <t>TC_DS_028</t>
  </si>
  <si>
    <t>Click logo 'Tryonic' trên header</t>
  </si>
  <si>
    <t>1. Mở Design Studio
2. Click logo 'Tryonic' (icon) trên header</t>
  </si>
  <si>
    <t>Redirect về trang chủ /home/ hoặc không phản hồi (nếu logo không phải link). Behavior nhất quán</t>
  </si>
  <si>
    <t>TC_DS_SC_012</t>
  </si>
  <si>
    <t>DS Header - Cart</t>
  </si>
  <si>
    <t>Icon giỏ hàng hiển thị badge số lượng</t>
  </si>
  <si>
    <t>1. Thêm sản phẩm vào giỏ
2. Mở Design Studio</t>
  </si>
  <si>
    <t>Icon ShoppingBag hiển thị badge đỏ (#EF4444) với số lượng items. Badge nhỏ (w-4 h-4), font 10px, text trắng</t>
  </si>
  <si>
    <t>TC_DS_SC_013</t>
  </si>
  <si>
    <t>Click icon giỏ hàng → mở CartDrawer</t>
  </si>
  <si>
    <t>1. Mở Design Studio
2. Click icon ShoppingBag</t>
  </si>
  <si>
    <t>Mở CartDrawer slide-over từ bên phải. Hiển thị danh sách items hoặc empty state</t>
  </si>
  <si>
    <t>TC_DS_002</t>
  </si>
  <si>
    <t>Click 'Mặt Sau' chuyển view canvas</t>
  </si>
  <si>
    <t>1. Mở Design Studio
2. Click icon 'Mặt Sau' trên sidebar</t>
  </si>
  <si>
    <t>Canvas chuyển sang hiển thị mặt sau áo thun. Vùng thiết kế mặt sau hiển thị</t>
  </si>
  <si>
    <t>TC_DS_003</t>
  </si>
  <si>
    <t>Click 'Thử Đồ với AI' mở tính năng try-on</t>
  </si>
  <si>
    <t>1. Mở Design Studio
2. Click icon 'Thử Đồ với AI'</t>
  </si>
  <si>
    <t>Mở tính năng AI Try-on. Hiển thị form upload ảnh hoặc modal thử đồ</t>
  </si>
  <si>
    <t>TC_DS_014</t>
  </si>
  <si>
    <t>Click 'Hoàn Tác' (Undo) sau khi thêm element</t>
  </si>
  <si>
    <t>1. Mở Design Studio
2. Thêm 1 element lên canvas
3. Click icon 'Hoàn Tác'</t>
  </si>
  <si>
    <t>Element vừa thêm biến mất khỏi canvas. Canvas quay về trạng thái trước đó</t>
  </si>
  <si>
    <t>TC_DS_015</t>
  </si>
  <si>
    <t>Click 'Làm Lại' (Redo) sau khi Undo</t>
  </si>
  <si>
    <t>1. Mở Design Studio
2. Thêm element → Click Undo
3. Click icon 'Làm Lại'</t>
  </si>
  <si>
    <t>Element xuất hiện trở lại trên canvas. Trạng thái khôi phục đúng</t>
  </si>
  <si>
    <t>TC_DS_017</t>
  </si>
  <si>
    <t>Click 'Thu Phóng' zoom in/out canvas</t>
  </si>
  <si>
    <t>1. Mở Design Studio
2. Click icon 'Thu Phóng' → Zoom In/Out</t>
  </si>
  <si>
    <t>Canvas phóng to/thu nhỏ mượt mà. Mockup áo vẫn hiển thị rõ ràng. Có giới hạn zoom min/max</t>
  </si>
  <si>
    <t>TC_DS_004</t>
  </si>
  <si>
    <t>Click 'Chia Sẻ' mở màn hình chia sẻ</t>
  </si>
  <si>
    <t>1. Mở Design Studio
2. Click icon 'Chia Sẻ'</t>
  </si>
  <si>
    <t>Mở đến màn hình 'Chia sẻ thiết kế'</t>
  </si>
  <si>
    <t>TC_DS_033</t>
  </si>
  <si>
    <t>Màn hình 'Chia sẻ thiết kế' hiển thị đầy đủ</t>
  </si>
  <si>
    <t>1. Mở Design Studio
2. Click icon 'Chia Sẻ'
3. Quan sát màn hình</t>
  </si>
  <si>
    <t>Màn hình 'Chia sẻ thiết kế' hiển thị đầy đủ các tùy chọn chia sẻ (link, social media). Có nút đóng để quay lại Design Studio</t>
  </si>
  <si>
    <t>TC_DS_034</t>
  </si>
  <si>
    <t>Copy link chia sẻ</t>
  </si>
  <si>
    <t>1. Mở màn hình 'Chia sẻ thiết kế'
2. Click nút 'Copy link'</t>
  </si>
  <si>
    <t>Link được copy vào clipboard. Hiển thị thông báo 'Đã sao chép'</t>
  </si>
  <si>
    <t>TC_DS_035</t>
  </si>
  <si>
    <t>Chia sẻ qua social media</t>
  </si>
  <si>
    <t>1. Mở màn hình 'Chia sẻ thiết kế'
2. Click icon social media (Facebook/Zalo/...)</t>
  </si>
  <si>
    <t>Mở cửa sổ chia sẻ của mạng xã hội tương ứng với link thiết kế</t>
  </si>
  <si>
    <t>TC_DS_SC_036</t>
  </si>
  <si>
    <t>Canvas - Flip</t>
  </si>
  <si>
    <t>Click 'Mặt Sau' → flip và quay lại</t>
  </si>
  <si>
    <t>1. Canvas đang hiển thị mặt trước
2. Click 'Mặt Sau'
3. Click lại 'Mặt Trước'</t>
  </si>
  <si>
    <t>Canvas toggle giữa front/back view. Text label đổi giữa 'Mặt Sau' ↔ 'Mặt Trước'. Elements riêng biệt cho mỗi mặt (source: frontElements vs backElements)</t>
  </si>
  <si>
    <t>TC_DS_SC_037</t>
  </si>
  <si>
    <t>Undo/Redo stack hoạt động đúng</t>
  </si>
  <si>
    <t>1. Thêm element A → Thêm element B
2. Click Undo 2 lần
3. Click Redo 1 lần</t>
  </si>
  <si>
    <t>Undo 1: B biến mất. Undo 2: A biến mất. Redo 1: A xuất hiện lại. Stack quản lý riêng front/back (source: useUndoRedo hook)</t>
  </si>
  <si>
    <t>TC_DS_020</t>
  </si>
  <si>
    <t>Canvas empty → Thêm AI Artwork → Canvas cập nhật</t>
  </si>
  <si>
    <t>1. Mở Design Studio (canvas trống)
2. Tạo AI Artwork thành công</t>
  </si>
  <si>
    <t>Artwork hiển thị trên vùng thiết kế (nét đứt cyan). Text hướng dẫn biến mất. Artwork có thể drag/resize</t>
  </si>
  <si>
    <t>TC_DS_021</t>
  </si>
  <si>
    <t>Canvas có artwork → Xóa artwork → Canvas trống</t>
  </si>
  <si>
    <t>1. Mở Design Studio đã có artwork
2. Chọn artwork → Xóa (Delete/Backspace)</t>
  </si>
  <si>
    <t>Artwork biến mất. Canvas trở về trạng thái trống. Text hướng dẫn xuất hiện lại</t>
  </si>
  <si>
    <t>TC_UIUX_006</t>
  </si>
  <si>
    <t>US-19</t>
  </si>
  <si>
    <t>Editor - 3D Mockup Viewpoint</t>
  </si>
  <si>
    <t>Verify 3D view toggle and performance</t>
  </si>
  <si>
    <t>1. Truy cập vào trang 
2. Nhấn nút 3D View</t>
  </si>
  <si>
    <t>Load 3D model xoay được, texture áo phủ đúng vùng thiết kế</t>
  </si>
  <si>
    <t>TC_DES_012</t>
  </si>
  <si>
    <t>Drag artwork di chuyển vị trí</t>
  </si>
  <si>
    <t>1. Truy cập vào trang 
2. Click + hold artwork
3. Kéo sang vị trí mới</t>
  </si>
  <si>
    <t>Artwork di chuyển mượt theo chuột</t>
  </si>
  <si>
    <t>TC_DES_013</t>
  </si>
  <si>
    <t>Resize artwork giữ tỷ lệ</t>
  </si>
  <si>
    <t>1. Truy cập vào trang 
2. Kéo corner handle</t>
  </si>
  <si>
    <t>Artwork resize giữ aspect ratio</t>
  </si>
  <si>
    <t>TC_DES_014</t>
  </si>
  <si>
    <t>Rotate artwork 45°</t>
  </si>
  <si>
    <t>1. Truy cập vào trang 
2. Kéo rotation handle</t>
  </si>
  <si>
    <t>Artwork xoay đúng góc. Snap guides hiển thị</t>
  </si>
  <si>
    <t>TC_DES_015</t>
  </si>
  <si>
    <t>Artwork ngoài Safe Zone → warning</t>
  </si>
  <si>
    <t>1. Truy cập vào trang 
2. Kéo artwork ra ngoài vùng in</t>
  </si>
  <si>
    <t>Warning: artwork ngoài safe zone. Đường viền đỏ</t>
  </si>
  <si>
    <t>TC_DES_018</t>
  </si>
  <si>
    <t>Undo thao tác vừa làm</t>
  </si>
  <si>
    <t>1. Truy cập vào trang 
2. Click Undo
3. Quan sát canvas</t>
  </si>
  <si>
    <t>Canvas quay về trạng thái trước đó</t>
  </si>
  <si>
    <t>TC_DES_019</t>
  </si>
  <si>
    <t>Redo sau khi undo</t>
  </si>
  <si>
    <t>1. Truy cập vào trang 
2. Click Redo</t>
  </si>
  <si>
    <t>Canvas khôi phục thao tác đã undo</t>
  </si>
  <si>
    <t>TC_DES_016</t>
  </si>
  <si>
    <t>Bring to front/back layer</t>
  </si>
  <si>
    <t>1. Truy cập vào trang 
2. Chọn layer dưới
3. Click 'Bring to front'</t>
  </si>
  <si>
    <t>Layer đó lên trên cùng</t>
  </si>
  <si>
    <t>TC_DES_017</t>
  </si>
  <si>
    <t>Delete layer</t>
  </si>
  <si>
    <t>1. Truy cập vào trang 
2. Chọn layer
3. Click Delete/Backspace</t>
  </si>
  <si>
    <t>Layer bị xóa. Canvas update</t>
  </si>
  <si>
    <t>TC_DES_024</t>
  </si>
  <si>
    <t>Editor - Preview</t>
  </si>
  <si>
    <t>Xem 3D mockup xoay được</t>
  </si>
  <si>
    <t>1. Truy cập vào trang 
2. Click '3D View'</t>
  </si>
  <si>
    <t>Model 3D hiển thị. Có thể xoay bằng chuột. Artwork hiện đúng vị trí</t>
  </si>
  <si>
    <t>TC_DES_025</t>
  </si>
  <si>
    <t>3D mockup hiển thị Front + Back</t>
  </si>
  <si>
    <t>1. Truy cập vào trang 
2. Xoay 3D view</t>
  </si>
  <si>
    <t>Thấy artwork mặt trước và mặt sau khi xoay</t>
  </si>
  <si>
    <t>TC_DES_021</t>
  </si>
  <si>
    <t>Save design vào My Designs</t>
  </si>
  <si>
    <t>1. Truy cập vào trang 
2. Click 'Save'
3. Nhập tên design</t>
  </si>
  <si>
    <t>Lưu thành công. Hiển thị ở My Designs. DB: user_designs record mới</t>
  </si>
  <si>
    <t>TC_DES_023</t>
  </si>
  <si>
    <t>Load design đã save và tiếp tục chỉnh sửa</t>
  </si>
  <si>
    <t>1. Truy cập vào trang 
2. Vào My Designs
3. Click design
4. Chỉnh sửa</t>
  </si>
  <si>
    <t>Design load đúng tất cả layers. Chỉnh sửa bình thường</t>
  </si>
  <si>
    <t>TC_DES_008</t>
  </si>
  <si>
    <t>Thêm text layer mới</t>
  </si>
  <si>
    <t>1. Truy cập vào trang 
2. Click 'Add Text'
3. Nhập: Hello World
4. Đổi Font: Roboto, Color: Red</t>
  </si>
  <si>
    <t>Text hiện đúng style trên canvas</t>
  </si>
  <si>
    <t>TC_DES_009</t>
  </si>
  <si>
    <t>Text chứa tiếng Việt có dấu</t>
  </si>
  <si>
    <t>1. Truy cập vào trang 
2. Nhập text tiếng Việt có dấu</t>
  </si>
  <si>
    <t>Hiển thị đúng font + dấu. Không bị lỗi encoding</t>
  </si>
  <si>
    <t>TC_DS_SC_021</t>
  </si>
  <si>
    <t>AI Panel - Chat</t>
  </si>
  <si>
    <t>Tạo artwork → Chuyển sang Chat mode</t>
  </si>
  <si>
    <t>1. Nhập prompt + chọn style
2. Click '✨ Tạo Artwork Mới'
3. Chờ kết quả</t>
  </si>
  <si>
    <t>Sau khi tạo xong, panel chuyển từ 'prompt' mode sang 'chat' mode. Hiển thị conversation: tin nhắn user + 3 variant cards (Mẫu A, B, C)</t>
  </si>
  <si>
    <t>TC_DS_SC_022</t>
  </si>
  <si>
    <t>3 Variant cards hiển thị đúng</t>
  </si>
  <si>
    <t>1. Tạo artwork thành công
2. Quan sát variant section</t>
  </si>
  <si>
    <t>Hiển thị 3 cards: 'Mẫu A', 'Mẫu B', 'Mẫu C'. Mỗi card có ảnh preview + 2 nút: 'Dùng ngay' (teal) và 'Sửa tiếp' (gray). Size card: w-32 h-32</t>
  </si>
  <si>
    <t>TC_DS_SC_023</t>
  </si>
  <si>
    <t>Click 'Dùng ngay' trên Variant → Apply lên canvas</t>
  </si>
  <si>
    <t>1. Có variant cards
2. Click 'Dùng ngay' trên variant A</t>
  </si>
  <si>
    <t>Ảnh variant A được apply lên canvas. Panel quay về trạng thái prompt. ArtworkPreviewOverlay hiển thị</t>
  </si>
  <si>
    <t>TC_DS_SC_024</t>
  </si>
  <si>
    <t>Click 'Sửa tiếp' → gửi prompt chỉnh sửa</t>
  </si>
  <si>
    <t>1. Có variant cards
2. Click 'Sửa tiếp' trên variant B
3. Nhập 'Thêm hoa sakura'
4. Gửi</t>
  </si>
  <si>
    <t>Variant B được set làm AI edit attached image. Input chat active để sửa tiếp. Prompt gửi kèm variant image</t>
  </si>
  <si>
    <t>TC_DS_SC_025</t>
  </si>
  <si>
    <t>Chat mode: Gửi tin nhắn tiếp tục</t>
  </si>
  <si>
    <t>1. Đang ở chat mode
2. Nhập tin nhắn: 'Đổi sang màu xanh'
3. Click gửi</t>
  </si>
  <si>
    <t>Tin nhắn hiển thị trong conversation. AI phản hồi (mock) với 3 variant mới. Trừ thêm 3 credits</t>
  </si>
  <si>
    <t>TC_DS_SC_026</t>
  </si>
  <si>
    <t>'Tạo mẫu mới' reset về prompt mode</t>
  </si>
  <si>
    <t>1. Đang ở chat mode
2. Click nút 'Tạo mẫu mới'</t>
  </si>
  <si>
    <t>Reset về prompt mode. Conversation bị xóa. Textarea trống. Style selector hiển thị lại</t>
  </si>
  <si>
    <t>TC_DS_SC_027</t>
  </si>
  <si>
    <t>AI Panel - Variant</t>
  </si>
  <si>
    <t>Click variant card → mở Lightbox</t>
  </si>
  <si>
    <t>1. Có variant cards
2. Click vào ảnh variant (không phải nút Dùng/Sửa)</t>
  </si>
  <si>
    <t>Mở VariantLightbox fullscreen. Ảnh lớn. Nút 'Dùng ngay' + 'Sửa tiếp' + Đóng (X)</t>
  </si>
  <si>
    <t>TC_DS_005</t>
  </si>
  <si>
    <t>Panel phải chuyển đổi context theo element được chọn</t>
  </si>
  <si>
    <t>1. Mở Design Studio
2. Click text element → hiển thị TextEditingPanel. Click image → ImageSettingsPanel. Bỏ chọn → AI Panel hiển thị</t>
  </si>
  <si>
    <t>Panel chuyển đổi mượt mà giữa AI Panel, TextEditingPanel, ImageSettingsPanel dựa trên element selection</t>
  </si>
  <si>
    <t>TC_DS_018</t>
  </si>
  <si>
    <t>Đổi màu áo qua tab Sản phẩm</t>
  </si>
  <si>
    <t>1. Mở Design Studio
2. Mở popup đổi sản phẩm (ProductSelectorModal)
3. Đổi màu (Đen hoặc màu khác)</t>
  </si>
  <si>
    <t>Canvas mockup cập nhật hiển thị áo đúng màu mới. Giá tạm tính không thay đổi (cùng loại áo)</t>
  </si>
  <si>
    <t>TC_DS_019</t>
  </si>
  <si>
    <t>Đổi size áo qua tab Sản phẩm</t>
  </si>
  <si>
    <t>1. Mở Design Studio
2. Mở popup đổi sản phẩm (ProductSelectorModal)
3. Đổi size từ L → S hoặc XL</t>
  </si>
  <si>
    <t>Size hiển thị cập nhật trên bottom bar. Giá tạm tính có thể thay đổi hoặc giữ nguyên tùy chính sách</t>
  </si>
  <si>
    <t>TC_DS_022</t>
  </si>
  <si>
    <t>Mở popup đổi sản phẩm (ProductSelectorModal) xem nội dung</t>
  </si>
  <si>
    <t>1. Mở Design Studio
2. Mở popup đổi sản phẩm (ProductSelectorModal) (👕 icon)</t>
  </si>
  <si>
    <t>Popup Sản phẩm (ProductSelectorModal) active (underline/highlight). Panel hiển thị danh sách loại áo/sản phẩm có thể chọn</t>
  </si>
  <si>
    <t>TC_DSP_F_002</t>
  </si>
  <si>
    <t>Đổi màu → Canvas + Bottom bar đồng bộ</t>
  </si>
  <si>
    <t>1. Mở Design Studio → Popup Sản phẩm (ProductSelectorModal)
2. Đổi màu Trắng → Đen</t>
  </si>
  <si>
    <t>Canvas mockup đổi thành áo Đen. Bottom bar hiển thị 'Màu: Đen'. Color toggle cập nhật trạng thái active</t>
  </si>
  <si>
    <t>TC_DSP_F_003</t>
  </si>
  <si>
    <t>Click nút 'Đổi sản phẩm' mở popup danh sách</t>
  </si>
  <si>
    <t>1. Mở Design Studio → Popup Sản phẩm (ProductSelectorModal)
2. Click nút 'Đổi sản phẩm'</t>
  </si>
  <si>
    <t>Mở popup danh sách sản phẩm. Hiển thị các loại áo thun (chất liệu khác, kiểu dáng khác). Mỗi item có ảnh thumbnail, tên, giá</t>
  </si>
  <si>
    <t>TC_DSP_F_003a</t>
  </si>
  <si>
    <t>Chọn sản phẩm từ popup danh sách</t>
  </si>
  <si>
    <t>1. Mở popup 'Đổi sản phẩm'
2. Click chọn sản phẩm khác</t>
  </si>
  <si>
    <t>Popup đóng. Canvas cập nhật mockup sản phẩm mới. Bottom bar cập nhật tên, giá tạm tính. Artwork trên canvas vẫn giữ nguyên</t>
  </si>
  <si>
    <t>TC_DSP_F_004</t>
  </si>
  <si>
    <t>Click nút 'Gợi ý size' mở popup 'Gợi ý size cho bạn'</t>
  </si>
  <si>
    <t>1. Mở Design Studio → Popup Sản phẩm (ProductSelectorModal)
2. Click nút 'Gợi ý size'</t>
  </si>
  <si>
    <t>Mở popup 'Gợi ý size cho bạn'. Hiển thị form nhập: Giới tính (Nam/Nữ), Chiều cao (cm), Cân nặng (kg). Có nút đóng</t>
  </si>
  <si>
    <t>TC_DSP_F_005</t>
  </si>
  <si>
    <t>Nhập thông tin và nhận gợi ý size</t>
  </si>
  <si>
    <t>1. Mở popup 'Gợi ý size cho bạn'
2. Chọn Giới tính: Nam
3. Nhập Chiều cao: 170
4. Nhập Cân nặng: 65
5. Click nút gợi ý/xác nhận</t>
  </si>
  <si>
    <t>Hiển thị size được gợi ý (VD: L). Size selector cập nhật. Popup đóng (hoặc giữ để xem bảng size)</t>
  </si>
  <si>
    <t>TC_DSP_F_003b</t>
  </si>
  <si>
    <t>Đóng popup danh sách sản phẩm</t>
  </si>
  <si>
    <t>1. Mở popup 'Đổi sản phẩm'
2. Click nút đóng (X) hoặc click vùng ngoài popup</t>
  </si>
  <si>
    <t>Popup đóng. Sản phẩm hiện tại không thay đổi</t>
  </si>
  <si>
    <t>TC_DES_001</t>
  </si>
  <si>
    <t>Upload PNG &lt; 25MB thành công</t>
  </si>
  <si>
    <t>1. Truy cập vào trang 
2. Click Upload
3. Chọn artwork.png
4. Quan sát canvas</t>
  </si>
  <si>
    <t>Ảnh hiện trên canvas. Layer mới tạo</t>
  </si>
  <si>
    <t>TC_DES_002</t>
  </si>
  <si>
    <t>Upload JPG thành công</t>
  </si>
  <si>
    <t>1. Truy cập vào trang 
2. Click Upload
3. Chọn photo.jpg</t>
  </si>
  <si>
    <t>Ảnh hiện trên canvas</t>
  </si>
  <si>
    <t>TC_DSA_F_001</t>
  </si>
  <si>
    <t>Upload ảnh PNG thành công</t>
  </si>
  <si>
    <t>1. Mở Design Studio → Thư viện ảnh (LibraryPanel)
2. Click upload hoặc kéo thả file PNG</t>
  </si>
  <si>
    <t>Ảnh upload thành công. Preview thumbnail hiển thị. Progress bar/spinner hiển thị trong lúc upload</t>
  </si>
  <si>
    <t>TC_DSA_F_002</t>
  </si>
  <si>
    <t>Chọn ảnh đã upload → Apply lên canvas</t>
  </si>
  <si>
    <t>1. Mở DS → Thư viện ảnh (LibraryPanel) (có ảnh đã upload)
2. Click chọn ảnh</t>
  </si>
  <si>
    <t>Ảnh được apply lên vùng thiết kế trên canvas. Ảnh có thể drag/resize. Text hướng dẫn trên canvas biến mất</t>
  </si>
  <si>
    <t>TC_DSA_F_003c</t>
  </si>
  <si>
    <t>Apply ảnh lên canvas từ MH Cài đặt hình ảnh</t>
  </si>
  <si>
    <t>1. Mở MH 'Cài đặt hình ảnh'
2. Click nút Apply/Sử dụng</t>
  </si>
  <si>
    <t>Ảnh được apply lên canvas. Có thể drag/resize trên canvas</t>
  </si>
  <si>
    <t>TC_DSTV_F_001</t>
  </si>
  <si>
    <t>Chọn template → Apply lên canvas</t>
  </si>
  <si>
    <t>1. Mở DS → Thư viện mẫu (LibraryPanel)
2. Click chọn template mẫu</t>
  </si>
  <si>
    <t>Template được apply lên vùng thiết kế trên canvas. Artwork có thể drag/resize. Loading state hiển thị nếu cần</t>
  </si>
  <si>
    <t>TC_DS_023</t>
  </si>
  <si>
    <t>Mở thư viện ảnh (LibraryPanel từ sidebar) xem nội dung</t>
  </si>
  <si>
    <t>1. Mở Design Studio
2. Mở thư viện ảnh (LibraryPanel từ sidebar) (📷 icon)</t>
  </si>
  <si>
    <t>Thư viện ảnh (LibraryPanel) active. Panel hiển thị khu vực upload ảnh cá nhân hoặc danh sách ảnh đã upload</t>
  </si>
  <si>
    <t>TC_DS_024</t>
  </si>
  <si>
    <t>Mở thư viện mẫu (LibraryPanel từ sidebar) xem nội dung</t>
  </si>
  <si>
    <t>1. Mở Design Studio
2. Mở thư viện mẫu (LibraryPanel từ sidebar) (📂 icon)</t>
  </si>
  <si>
    <t>Thư viện mẫu (LibraryPanel) active. Panel hiển thị thư viện mẫu có sẵn (templates/artwork). Có thể chọn mẫu và apply lên canvas</t>
  </si>
  <si>
    <t>TC_DSA_F_003</t>
  </si>
  <si>
    <t>Click vào ảnh đã upload → Màn hình 'Cài đặt hình ảnh'</t>
  </si>
  <si>
    <t>1. Mở DS → Thư viện ảnh (LibraryPanel) (có ảnh)
2. Click vào ảnh đã upload</t>
  </si>
  <si>
    <t>Mở màn hình 'Cài đặt hình ảnh'. Hiển thị ảnh đã chọn với các tùy chọn chỉnh sửa</t>
  </si>
  <si>
    <t>TC_DSA_F_003a</t>
  </si>
  <si>
    <t>Chỉnh sửa ảnh trên MH Cài đặt hình ảnh (crop/resize/rotate)</t>
  </si>
  <si>
    <t>1. Mở MH 'Cài đặt hình ảnh'
2. Sử dụng các công cụ chỉnh sửa (crop, resize, rotate nếu có)
3. Click xác nhận/apply</t>
  </si>
  <si>
    <t>Ảnh được cập nhật theo chỉnh sửa. Quay về panel Ảnh của bạn với ảnh đã chỉnh</t>
  </si>
  <si>
    <t>TC_DSA_F_003b</t>
  </si>
  <si>
    <t>Xóa ảnh từ MH Cài đặt hình ảnh</t>
  </si>
  <si>
    <t>1. Mở MH 'Cài đặt hình ảnh'
2. Click nút xóa ảnh</t>
  </si>
  <si>
    <t>Hiển thị confirm dialog. Xác nhận → ảnh bị xóa khỏi danh sách. Quay về panel 'Ảnh của bạn'</t>
  </si>
  <si>
    <t>TC_DSTV_F_002</t>
  </si>
  <si>
    <t>Chọn template khác thay thế template cũ</t>
  </si>
  <si>
    <t>1. Canvas đã có template A
2. Mở thư viện mẫu → Chọn template B</t>
  </si>
  <si>
    <t>Template B thay thế template A trên canvas. Hoặc template B được thêm mới (tùy behavior)</t>
  </si>
  <si>
    <t>TC_DSTV_F_004</t>
  </si>
  <si>
    <t>Tìm kiếm mẫu trong thư viện</t>
  </si>
  <si>
    <t>1. Mở DS → Thư viện mẫu (LibraryPanel)
2. Nhập từ khóa vào ô tìm kiếm (VD: 'dragon')
3. Quan sát kết quả</t>
  </si>
  <si>
    <t>Danh sách templates filter theo keyword. Chỉ hiển thị các mẫu liên quan. Kết quả cập nhật realtime hoặc sau khi nhấn Enter</t>
  </si>
  <si>
    <t>TC_DSA_F_004</t>
  </si>
  <si>
    <t>Upload nhiều ảnh liên tiếp</t>
  </si>
  <si>
    <t>1. Mở DS → Thư viện ảnh (LibraryPanel)
2. Upload 3 ảnh liên tiếp</t>
  </si>
  <si>
    <t>Tất cả ảnh hiển thị trong danh sách. Không bị ghi đè lên nhau. Scroll nếu danh sách dài</t>
  </si>
  <si>
    <t>TC_DSTV_F_003</t>
  </si>
  <si>
    <t>Scroll danh sách templates (nếu nhiều)</t>
  </si>
  <si>
    <t>1. Mở DS → Thư viện mẫu (LibraryPanel)
2. Scroll xuống danh sách templates</t>
  </si>
  <si>
    <t>Scroll mượt mà. Load thêm templates (infinite scroll hoặc pagination). Không bị lag</t>
  </si>
  <si>
    <t>TC_DSTV_F_005</t>
  </si>
  <si>
    <t>Tìm kiếm không có kết quả</t>
  </si>
  <si>
    <t>1. Mở DS → Thư viện mẫu (LibraryPanel)
2. Nhập từ khóa không tồn tại (VD: 'xyzabc123')</t>
  </si>
  <si>
    <t>Hiển thị empty state: 'Không tìm thấy mẫu nào'. Không crash, không lỗi</t>
  </si>
  <si>
    <t>TC_DSTV_F_006</t>
  </si>
  <si>
    <t>Xóa từ khóa tìm kiếm → Hiển thị lại toàn bộ</t>
  </si>
  <si>
    <t>1. Đã tìm kiếm với keyword
2. Xóa hết text trong ô tìm kiếm</t>
  </si>
  <si>
    <t>Danh sách templates trở về trạng thái ban đầu (hiển thị tất cả mẫu)</t>
  </si>
  <si>
    <t>TC_TEM_001</t>
  </si>
  <si>
    <t>Duyệt template gallery load thành công</t>
  </si>
  <si>
    <t>1. Truy cập vào trang 
2. Mở /templates
3. Scroll xuống</t>
  </si>
  <si>
    <t>Load templates. Lazy load khi scroll</t>
  </si>
  <si>
    <t>TC_TEM_002</t>
  </si>
  <si>
    <t>Gallery load empty state</t>
  </si>
  <si>
    <t>Hiển thị empty state: 'Chưa có template nào'</t>
  </si>
  <si>
    <t>TC_TEM_011</t>
  </si>
  <si>
    <t>US-09</t>
  </si>
  <si>
    <t>Gallery - Editor</t>
  </si>
  <si>
    <t>Click template mở Editor</t>
  </si>
  <si>
    <t>1. Truy cập vào trang 
2. Click 1 template</t>
  </si>
  <si>
    <t>Template load vào Editor canvas. Các layer có thể chỉnh sửa</t>
  </si>
  <si>
    <t>TC_TEM_012</t>
  </si>
  <si>
    <t>Mở template khi chưa login (Guest)</t>
  </si>
  <si>
    <t>1. Truy cập vào trang 
2. Click template</t>
  </si>
  <si>
    <t>Template vẫn load vào Editor (Guest mode)</t>
  </si>
  <si>
    <t>TC_TEM_008</t>
  </si>
  <si>
    <t>Lọc theo category Sport</t>
  </si>
  <si>
    <t>1. Truy cập vào trang 
2. Chọn filter: Sport</t>
  </si>
  <si>
    <t>Chỉ hiện templates thuộc Sport</t>
  </si>
  <si>
    <t>TC_TEM_010</t>
  </si>
  <si>
    <t>Kết hợp Search + Filter</t>
  </si>
  <si>
    <t>1. Truy cập vào trang 
2. Search 'Rock'
3. Filter: Music</t>
  </si>
  <si>
    <t>Chỉ hiện templates Music chứa 'Rock'</t>
  </si>
  <si>
    <t>TC_TEM_004</t>
  </si>
  <si>
    <t>Tìm kiếm template theo keyword khớp</t>
  </si>
  <si>
    <t>1. Truy cập vào trang 
2. Nhập 'Vintage' vào search
3. Enter</t>
  </si>
  <si>
    <t>Hiển thị templates có tên/tag chứa 'Vintage'</t>
  </si>
  <si>
    <t>TC_PRO_008</t>
  </si>
  <si>
    <t>Gợi ý size - input hợp lệ</t>
  </si>
  <si>
    <t>1. Truy cập vào trang 
2. Nhập H:175, W:70, Gender:Nam
3. Click 'Gợi ý'</t>
  </si>
  <si>
    <t>Hiển thị: 'Size L (Khớp 90%)' hoặc tương tự</t>
  </si>
  <si>
    <t>TC_DS_SC_033</t>
  </si>
  <si>
    <t>Tạo TryOn thành công → hiển thị kết quả</t>
  </si>
  <si>
    <t>1. Chọn settings
2. Click 'Tạo ảnh'</t>
  </si>
  <si>
    <t>Loading state (spinner). Ảnh try-on hiển thị. Credits −4. Nút 'Đặt hàng ngay' và 'Tải về' xuất hiện</t>
  </si>
  <si>
    <t>TC_DS_SC_028</t>
  </si>
  <si>
    <t>Verify giới tính options: Nam/Nữ</t>
  </si>
  <si>
    <t>1. Mở TryOn Modal
2. Quan sát Gender selector</t>
  </si>
  <si>
    <t>2 options: 'Nam' và 'Nữ'. Default = 'Nữ'. Click toggle đổi giới tính</t>
  </si>
  <si>
    <t>TC_DS_SC_029</t>
  </si>
  <si>
    <t>Verify tuổi slider: 18-60, default 24</t>
  </si>
  <si>
    <t>1. Mở TryOn Modal
2. Quan sát Age slider</t>
  </si>
  <si>
    <t>Slider range: min=18, max=60, step=1, default=24. Label hiển thị 'Tuổi: {value}'</t>
  </si>
  <si>
    <t>TC_DS_SC_030</t>
  </si>
  <si>
    <t>Verify thân hình options: Gầy/Vừa/Đầy đặn</t>
  </si>
  <si>
    <t>1. Mở TryOn Modal
2. Quan sát Body selector</t>
  </si>
  <si>
    <t>3 options: 'Gầy', 'Vừa', 'Đầy đặn'. Select dropdown style</t>
  </si>
  <si>
    <t>TC_DS_SC_035</t>
  </si>
  <si>
    <t>Kết quả TryOn → Click 'Đặt hàng ngay'</t>
  </si>
  <si>
    <t>1. Tạo TryOn thành công
2. Click 'Đặt hàng ngay'</t>
  </si>
  <si>
    <t>Navigate đến checkout hoặc mở OrderTab. Thông tin sản phẩm + thiết kế được truyền</t>
  </si>
  <si>
    <t>TC_DS_SC_031</t>
  </si>
  <si>
    <t>Verify tóc options: Tự động/Ngắn/Dài</t>
  </si>
  <si>
    <t>1. Mở TryOn Modal
2. Quan sát Hair selector</t>
  </si>
  <si>
    <t>3 options: 'Tự động', 'Ngắn', 'Dài'. Default = 'Tự động'</t>
  </si>
  <si>
    <t>TC_DS_SC_032</t>
  </si>
  <si>
    <t>Verify nền options: Tự động/Trắng/Xám/Studio</t>
  </si>
  <si>
    <t>1. Mở TryOn Modal
2. Quan sát Background selector</t>
  </si>
  <si>
    <t>4 options: 'Tự động', 'Trắng', 'Xám', 'Studio'. Default = 'Tự động'</t>
  </si>
  <si>
    <t>TC_DS_SC_003</t>
  </si>
  <si>
    <t>DS Header - Credits</t>
  </si>
  <si>
    <t>Credits giảm 3 sau khi tạo AI Artwork</t>
  </si>
  <si>
    <t>1. Mở Design Studio (12 credits)
2. Tạo AI artwork thành công</t>
  </si>
  <si>
    <t>Credits badge cập nhật: 12 → 9. Text '−3 credits' hiển thị (hoặc badge animate)</t>
  </si>
  <si>
    <t>TC_DS_SC_004</t>
  </si>
  <si>
    <t>Credits giảm 4 sau khi dùng TryOn</t>
  </si>
  <si>
    <t>1. Mở Design Studio (12 credits)
2. Tạo AI try-on thành công</t>
  </si>
  <si>
    <t>Credits badge cập nhật: 12 → 8. Chi phí try-on = 4 credits (source: TryOnModal.tsx line 166)</t>
  </si>
  <si>
    <t>TC_DS_SC_001</t>
  </si>
  <si>
    <t>Credits badge hiển thị '12 Credits' mặc định</t>
  </si>
  <si>
    <t>Badge hiển thị '12 Credits' (default từ source code). Có icon Sparkles tím (#0D9488). Font bold, text xám đậm</t>
  </si>
  <si>
    <t>TC_DS_SC_002</t>
  </si>
  <si>
    <t>Tooltip Credits hiển thị thông tin reset</t>
  </si>
  <si>
    <t>1. Mở Design Studio
2. Hover vào Credits badge</t>
  </si>
  <si>
    <t>Hiển thị tooltip: 'Tặng mới mỗi ngày lúc 00:00'. Tooltip có background xám đậm, text trắng, shadow</t>
  </si>
  <si>
    <t>TC_DS_SC_006</t>
  </si>
  <si>
    <t>DS Header - Share</t>
  </si>
  <si>
    <t>Copy link chia sẻ → nhận +1 credit</t>
  </si>
  <si>
    <t>1. Mở SharePopup
2. Click 'Sao chép liên kết'</t>
  </si>
  <si>
    <t>Link copied vào clipboard. Hiển thị toast 'Đã sao chép!'. Credits badge tăng +1 (source: StudioTopBar.tsx handleShare)</t>
  </si>
  <si>
    <t>TC_DS_SC_005</t>
  </si>
  <si>
    <t>Nút 'Chia sẻ' mở popup chia sẻ</t>
  </si>
  <si>
    <t>1. Mở Design Studio
2. Click nút 'Chia sẻ' trên header</t>
  </si>
  <si>
    <t>Mở SharePopup overlay. Hiển thị tiêu đề 'Chia sẻ thiết kế', link chia sẻ (mock URL), nút 'Sao chép liên kết', text '+1 Credit khi chia sẻ'</t>
  </si>
  <si>
    <t>TC_DS_SC_007</t>
  </si>
  <si>
    <t>Đóng SharePopup bằng nút X</t>
  </si>
  <si>
    <t>1. Mở SharePopup
2. Click nút X (góc phải)</t>
  </si>
  <si>
    <t>Popup đóng. Quay về Design Studio bình thường</t>
  </si>
  <si>
    <t>TC_DS_SC_008</t>
  </si>
  <si>
    <t>DS Header - User</t>
  </si>
  <si>
    <t>Click icon User khi đã login → dropdown menu</t>
  </si>
  <si>
    <t>1. Đăng nhập → Mở Design Studio
2. Click icon User (CircleUser)</t>
  </si>
  <si>
    <t>Dropdown hiển thị 2 options: 'Đơn hàng của tôi' và 'Đăng xuất'. Style: bg-white, shadow-xl, rounded-xl, border</t>
  </si>
  <si>
    <t>TC_DS_SC_009</t>
  </si>
  <si>
    <t>Click 'Đơn hàng của tôi' → navigate</t>
  </si>
  <si>
    <t>1. Mở User dropdown
2. Click 'Đơn hàng của tôi'</t>
  </si>
  <si>
    <t>Navigate đến /studio/my-orders. Hiển thị danh sách đơn hàng</t>
  </si>
  <si>
    <t>TC_DS_SC_010</t>
  </si>
  <si>
    <t>Click 'Đăng xuất'</t>
  </si>
  <si>
    <t>1. Mở User dropdown
2. Click 'Đăng xuất'</t>
  </si>
  <si>
    <t>Xóa customer_token khỏi localStorage. Giao diện cập nhật trạng thái Guest</t>
  </si>
  <si>
    <t>TC_DS_SC_011</t>
  </si>
  <si>
    <t>Click icon User khi Guest → mở InlineAuthModal</t>
  </si>
  <si>
    <t>1. Truy cập Guest → Mở Design Studio
2. Click icon User</t>
  </si>
  <si>
    <t>Mở InlineAuthModal. Hiển thị form đăng nhập với tiêu đề 'Chào mừng trở lại!'</t>
  </si>
  <si>
    <t>TC_DS_SC_014</t>
  </si>
  <si>
    <t>Login mode: Form hiển thị đầy đủ</t>
  </si>
  <si>
    <t>1. Mở InlineAuthModal (mode login)
2. Quan sát form</t>
  </si>
  <si>
    <t>Tiêu đề: 'Chào mừng trở lại!'. Subtitle: 'Lưu thiết kế và nhận thêm nhiều Credits miễn phí'. Fields: Email (placeholder 'name@example.com'), Mật khẩu. Link 'Quên mật khẩu?'. Nút 'Đăng nhập'</t>
  </si>
  <si>
    <t>TC_DS_SC_015</t>
  </si>
  <si>
    <t>Register mode: Form hiển thị thêm field Họ tên</t>
  </si>
  <si>
    <t>1. Mở InlineAuthModal → Click 'Đăng ký'
2. Quan sát form</t>
  </si>
  <si>
    <t>Tiêu đề đổi: 'Tạo tài khoản'. Thêm field 'Họ và tên' (placeholder 'Ví dụ: Nguyễn Văn A'). Link 'Quên mật khẩu?' KHÔNG hiển thị</t>
  </si>
  <si>
    <t>TC_DS_SC_016</t>
  </si>
  <si>
    <t>Login bằng Google SSO (mock)</t>
  </si>
  <si>
    <t>1. Mở InlineAuthModal
2. Click 'Tiếp tục với Google'</t>
  </si>
  <si>
    <t>Mock login thành công. localStorage set 'customer_token'. Dispatch event 'customer_auth_success'. Modal đóng</t>
  </si>
  <si>
    <t>TC_DS_SC_017</t>
  </si>
  <si>
    <t>Login bằng Facebook SSO (mock)</t>
  </si>
  <si>
    <t>1. Mở InlineAuthModal
2. Click 'Tiếp tục với Facebook'</t>
  </si>
  <si>
    <t>Mock login thành công. Nút có style bg-[#1877F2] text-white. Modal đóng</t>
  </si>
  <si>
    <t>TC_DS_SC_019</t>
  </si>
  <si>
    <t>Đóng modal bằng nút X</t>
  </si>
  <si>
    <t>1. Mở InlineAuthModal
2. Click nút X (góc phải)</t>
  </si>
  <si>
    <t>Modal đóng. Backdrop biến mất</t>
  </si>
  <si>
    <t>TC_DS_SC_020</t>
  </si>
  <si>
    <t>Đóng modal bằng click backdrop</t>
  </si>
  <si>
    <t>1. Mở InlineAuthModal
2. Click vùng backdrop đen bên ngoài modal</t>
  </si>
  <si>
    <t>Modal đóng (source: backdrop onClick={onClose})</t>
  </si>
  <si>
    <t>TC_DS_SC_041</t>
  </si>
  <si>
    <t>Cart Drawer</t>
  </si>
  <si>
    <t>Filled state: Items + Footer + Checkout</t>
  </si>
  <si>
    <t>1. Thêm sản phẩm vào giỏ
2. Mở CartDrawer</t>
  </si>
  <si>
    <t>Header: 'Giỏ hàng (X)'. Mỗi item card: ảnh mockup, tên SP, 'Màu: Đen/Trắng', size:qty badges (teal bg), giá. Footer: 'Tạm tính (X thiết kế)', tổng tiền, nút 'Thanh toán ngay' (full-width, teal gradient)</t>
  </si>
  <si>
    <t>TC_DS_SC_043</t>
  </si>
  <si>
    <t>Click 'Thanh toán ngay' → navigate checkout</t>
  </si>
  <si>
    <t>1. Mở CartDrawer (có items)
2. Click 'Thanh toán ngay'</t>
  </si>
  <si>
    <t>localStorage set 'checkout_order' với order data. Navigate đến /studio/checkout. CartDrawer đóng</t>
  </si>
  <si>
    <t>TC_DS_SC_040</t>
  </si>
  <si>
    <t>Empty state: 'Giỏ hàng trống'</t>
  </si>
  <si>
    <t>1. Mở CartDrawer (giỏ trống)
2. Quan sát nội dung</t>
  </si>
  <si>
    <t>Hiển thị: icon ShoppingBag xám, text 'Giỏ hàng của bạn đang trống', nút 'Thiết kế ngay' (teal gradient). Footer không hiển thị</t>
  </si>
  <si>
    <t>TC_DS_SC_042</t>
  </si>
  <si>
    <t>Xóa item khỏi giỏ trong CartDrawer</t>
  </si>
  <si>
    <t>1. Mở CartDrawer (có ≥1 item)
2. Click nút xóa (X) trên item</t>
  </si>
  <si>
    <t>Item bị xóa. Tổng giá cập nhật. Badge header giảm. Nếu hết item → chuyển sang empty state</t>
  </si>
  <si>
    <t>TC_DS_SC_044</t>
  </si>
  <si>
    <t>Footer hiển thị 'Thanh toán an toàn với VNPay'</t>
  </si>
  <si>
    <t>1. Mở CartDrawer (có items)
2. Quan sát footer dưới nút checkout</t>
  </si>
  <si>
    <t>Text 'Thanh toán an toàn với VNPay' với icon Shield. Font 12px, text gray-400</t>
  </si>
  <si>
    <t>TC_DS_SC_045</t>
  </si>
  <si>
    <t>Đóng CartDrawer bằng nút X</t>
  </si>
  <si>
    <t>1. Mở CartDrawer
2. Click nút X (góc phải header)</t>
  </si>
  <si>
    <t>Drawer slide out. Quay về Design Studio</t>
  </si>
  <si>
    <t>TC_DS_SC_046</t>
  </si>
  <si>
    <t>Mobile Panel</t>
  </si>
  <si>
    <t>Mobile: Panel phải chuyển thành bottom drawer</t>
  </si>
  <si>
    <t>1. Truy cập DS trên mobile (&lt; 768px)
2. Quan sát layout</t>
  </si>
  <si>
    <t>Panel phải hiển thị dạng bottom drawer (slide up từ dưới). Drag handle ở trên cùng. Chiều cao ~70% màn hình</t>
  </si>
  <si>
    <t>TC_DS_SC_047</t>
  </si>
  <si>
    <t>Mobile: Drag handle kéo drawer lên/xuống</t>
  </si>
  <si>
    <t>1. Trên mobile, panel đang hiển thị
2. Drag handle kéo xuống</t>
  </si>
  <si>
    <t>Drawer thu nhỏ hoặc đóng. Drag lên → mở rộng. Gesture mượt mà</t>
  </si>
  <si>
    <t>TC_MYDES_F_002</t>
  </si>
  <si>
    <t>My Designs - Delete</t>
  </si>
  <si>
    <t>Xóa thiết kế đã lưu</t>
  </si>
  <si>
    <t>1. Mở My Designs
2. Click nút xóa trên thiết kế
3. Confirm</t>
  </si>
  <si>
    <t>Thiết kế bị xóa khỏi danh sách. Confirm dialog trước khi xóa</t>
  </si>
  <si>
    <t>TC_MYDES_F_001</t>
  </si>
  <si>
    <t>My Designs - Load</t>
  </si>
  <si>
    <t>Click thiết kế → Mở trong Editor</t>
  </si>
  <si>
    <t>1. Mở My Designs
2. Click 1 thiết kế</t>
  </si>
  <si>
    <t>Design load vào Editor với tất cả layers đúng. Có thể tiếp tục chỉnh sửa</t>
  </si>
  <si>
    <t>TC_MYDES_F_003</t>
  </si>
  <si>
    <t>My Designs - Rename</t>
  </si>
  <si>
    <t>Đổi tên thiết kế</t>
  </si>
  <si>
    <t>1. Mở My Designs
2. Click tên thiết kế → Nhập tên mới
3. Save</t>
  </si>
  <si>
    <t>Tên cập nhật thành công</t>
  </si>
  <si>
    <t>TC_FT_F_001</t>
  </si>
  <si>
    <t>Footer - Navigate</t>
  </si>
  <si>
    <t>Click link 'Chính sách thanh toán'</t>
  </si>
  <si>
    <t>1. Scroll xuống Footer
2. Click 'Chính sách thanh toán'</t>
  </si>
  <si>
    <t>Navigate đến /pages/chinh-sach-thanh-toan. Trang policy hiển thị đầy đủ</t>
  </si>
  <si>
    <t>TC_FT_F_002</t>
  </si>
  <si>
    <t>Click link 'Theo dõi đơn hàng'</t>
  </si>
  <si>
    <t>1. Scroll xuống Footer
2. Click 'Theo dõi đơn hàng'</t>
  </si>
  <si>
    <t>Navigate đến /studio/my-orders. Trang My Orders hiển thị</t>
  </si>
  <si>
    <t>TC_FT_F_003</t>
  </si>
  <si>
    <t>Click link 'Áo thun' trong cột Sản phẩm</t>
  </si>
  <si>
    <t>1. Click 'Áo thun' trong Footer
2. Quan sát</t>
  </si>
  <si>
    <t>Navigate đến /studio. Design Studio hiển thị</t>
  </si>
  <si>
    <t>TC_DS_F_PROF_001</t>
  </si>
  <si>
    <t>US-TB-PROF</t>
  </si>
  <si>
    <t>DS - User Menu</t>
  </si>
  <si>
    <t>TopBar: Link 'Hồ sơ cá nhân' trong user dropdown</t>
  </si>
  <si>
    <t>1. Đăng nhập
2. Hover user avatar dropdown</t>
  </si>
  <si>
    <t>Menu item 'Hồ sơ cá nhân' (UserCircle icon) hiển thị. Link href='/profile'</t>
  </si>
  <si>
    <t>TC_DS_F_PROF_002</t>
  </si>
  <si>
    <t>TopBar: Click 'Hồ sơ cá nhân' navigate đúng</t>
  </si>
  <si>
    <t>1. Click 'Hồ sơ cá nhân'</t>
  </si>
  <si>
    <t>Navigate đến /profile page. Profile page load thành công</t>
  </si>
  <si>
    <t>TC_TEM_007</t>
  </si>
  <si>
    <t>Search XSS injection</t>
  </si>
  <si>
    <t>1. Truy cập vào trang 
2. Nhập script tag vào search</t>
  </si>
  <si>
    <t>Không execute. Sanitize input</t>
  </si>
  <si>
    <t>TC_AI_UI_013</t>
  </si>
  <si>
    <t>DS - AI Panel</t>
  </si>
  <si>
    <t>US-37</t>
  </si>
  <si>
    <t>AI Gen - UI/UX</t>
  </si>
  <si>
    <t>AI page: UI form cấu hình layout</t>
  </si>
  <si>
    <t>1. Truy cập vào trang 
2. Quan sát layout input form</t>
  </si>
  <si>
    <t>Input placeholder: 'Mô tả ý tưởng của bạn'. Styles: Digital Art, Realistic, Watercolor, Anime, Oil Painting. Thanh trượt 1-4 hình</t>
  </si>
  <si>
    <t>TC_AI_UI_014</t>
  </si>
  <si>
    <t>AI page: Hiển thị chi phí generate</t>
  </si>
  <si>
    <t>1. Truy cập vào trang 
2. Thay đổi số lượng ảnh</t>
  </si>
  <si>
    <t>Hiển thị text: 'Tiêu tốn: X credits' (Vd: 'Tiêu tốn: 5 credits' khi generate 4 hình)</t>
  </si>
  <si>
    <t>TC_DS_UI_006</t>
  </si>
  <si>
    <t>AI Panel (bên phải) nội dung đầy đủ</t>
  </si>
  <si>
    <t>1. Mở Design Studio
2. Trên AI Panel (mặc định hiển thị bên phải)
3. Quan sát nội dung panel</t>
  </si>
  <si>
    <t>Hiển thị: 'MÔ TẢ ARTWORK' (textarea), 'ẢNH THAM KHẢO' (2 nút: 'Chọn từ thư viện', 'Tải ảnh lên'), 'PHONG CÁCH' (6 style cards), text 'Mỗi lần tạo tốn 3 Credits', nút '✨ Tạo Artwork Mới'</t>
  </si>
  <si>
    <t>TC_DS_UI_007</t>
  </si>
  <si>
    <t>6 phong cách AI có ảnh minh họa</t>
  </si>
  <si>
    <t>1. Mở Design Studio
2. Trong AI Panel, quan sát phần PHONG CÁCH</t>
  </si>
  <si>
    <t>Hiển thị 6 style cards: 'Watercolor', 'Minimalist', 'Line Art', 'Retro', 'Grunge', 'Flat Design'. Mỗi card có ảnh minh họa + text tên style</t>
  </si>
  <si>
    <t>TC_DS_UI_009</t>
  </si>
  <si>
    <t>Textarea MÔ TẢ ARTWORK placeholder</t>
  </si>
  <si>
    <t>1. Mở Design Studio
2. Quan sát textarea trong AI Panel</t>
  </si>
  <si>
    <t>Placeholder hiển thị: 'VD: Rồng Việt Nam phong cách watercolor, màu xanh lam và vàng...'</t>
  </si>
  <si>
    <t>TC_CRD_UI_009</t>
  </si>
  <si>
    <t>MH Credits</t>
  </si>
  <si>
    <t>US-40</t>
  </si>
  <si>
    <t>Credits - UI/UX</t>
  </si>
  <si>
    <t>Wallet page: Header card số dư</t>
  </si>
  <si>
    <t>1. Truy cập vào trang 
2. Quan sát card số dư màu tím</t>
  </si>
  <si>
    <t>Hiển thị: 'Số dư hiện tại: [X] Credits'. Nút: 'Nạp thêm Credits', 'Rút Credits'</t>
  </si>
  <si>
    <t>TC_CRD_UI_010</t>
  </si>
  <si>
    <t>US-41</t>
  </si>
  <si>
    <t>Wallet page: Lịch sử và Tabs</t>
  </si>
  <si>
    <t>1. Truy cập vào trang 
2. Quan sát bảng lịch sử giao dịch</t>
  </si>
  <si>
    <t>Có Tabs: 'Tất cả', 'Nhận', 'Sử dụng'. Bảng có: Ngày giao dịch, Loại, Nội dung, Số tiền (+/-), Số dư sau giao dịch. (vd: 'Chào mừng (+5)', 'Mua hàng (+10)')</t>
  </si>
  <si>
    <t>TC_CRD_UI_011</t>
  </si>
  <si>
    <t>Wallet page: Empty state</t>
  </si>
  <si>
    <t>1. Truy cập vào trang 
2. Mở trang Ví Credits</t>
  </si>
  <si>
    <t>Hiển thị empty state: 'Chưa có giao dịch credits nào'</t>
  </si>
  <si>
    <t>TC_AI_002</t>
  </si>
  <si>
    <t>AI Gen - Engine</t>
  </si>
  <si>
    <t>Prompt rỗng</t>
  </si>
  <si>
    <t>1. Truy cập vào trang 
2. Không nhập prompt
3. Click 'Generate'</t>
  </si>
  <si>
    <t>Validation: 'Vui lòng nhập mô tả'</t>
  </si>
  <si>
    <t>TC_AI_003</t>
  </si>
  <si>
    <t>Prompt chứa nội dung nhạy cảm</t>
  </si>
  <si>
    <t>1. Truy cập vào trang 
2. Nhập prompt vi phạm policy
3. Click 'Generate'</t>
  </si>
  <si>
    <t>Từ chối: 'Nội dung không phù hợp'. Không trừ credit</t>
  </si>
  <si>
    <t>TC_AI_004</t>
  </si>
  <si>
    <t>Prompt rất dài (1000+ ký tự)</t>
  </si>
  <si>
    <t>1. Truy cập vào trang 
2. Nhập prompt 1000+ ký tự
3. Click 'Generate'</t>
  </si>
  <si>
    <t>Truncate hoặc warning max length</t>
  </si>
  <si>
    <t>TC_AI_009</t>
  </si>
  <si>
    <t>—</t>
  </si>
  <si>
    <t>AI Gen - Quota</t>
  </si>
  <si>
    <t>Guest: 2 lượt/ngày</t>
  </si>
  <si>
    <t>1. Truy cập vào trang 
2. Click 'Generate' lần thứ 3</t>
  </si>
  <si>
    <t>Hiển thị: 'Out of Credits'. Gợi ý đăng ký tài khoản</t>
  </si>
  <si>
    <t>TC_AI_010</t>
  </si>
  <si>
    <t>Free user: 10 lượt/ngày</t>
  </si>
  <si>
    <t>1. Truy cập vào trang 
2. Click 'Generate' lần thứ 11</t>
  </si>
  <si>
    <t>Hiển thị: 'Hết lượt tạo hôm nay'. Gợi ý chờ reset</t>
  </si>
  <si>
    <t>TC_AI_011</t>
  </si>
  <si>
    <t>Quota reset lúc 00:00</t>
  </si>
  <si>
    <t>1. Truy cập vào trang 
2. Chờ qua 00:00
3. Thử Generate</t>
  </si>
  <si>
    <t>Quota reset. Generate thành công</t>
  </si>
  <si>
    <t>TC_AI_007</t>
  </si>
  <si>
    <t>US-38</t>
  </si>
  <si>
    <t>AI Gen - Upscale</t>
  </si>
  <si>
    <t>Upscale khi hết credits</t>
  </si>
  <si>
    <t>1. Truy cập vào trang 
2. Click 'Dùng ngay'</t>
  </si>
  <si>
    <t>Hiển thị: 'Hết credits'. Gợi ý chờ reset hoặc mua thêm</t>
  </si>
  <si>
    <t>TC_DS_011</t>
  </si>
  <si>
    <t>Nút 'Tạo Artwork Mới' disabled khi textarea MÔ TẢ rỗng</t>
  </si>
  <si>
    <t>1. Mở Design Studio
2. Không nhập gì vào textarea MÔ TẢ ARTWORK
3. Quan sát nút '✨ Tạo Artwork Mới'</t>
  </si>
  <si>
    <t>Nút '✨ Tạo Artwork Mới' bị disabled (mờ đi, không click được). Không trừ credits. Cursor không chuyển sang pointer khi hover</t>
  </si>
  <si>
    <t>TC_DS_012</t>
  </si>
  <si>
    <t>Tạo Artwork khi hết credits (0 credits)</t>
  </si>
  <si>
    <t>Precondition: Tài khoản có 0 credits</t>
  </si>
  <si>
    <t>1. Mở Design Studio
2. Nhập mô tả hợp lệ
3. Click '✨ Tạo Artwork Mới'</t>
  </si>
  <si>
    <t>Hiển thị: 'Hết credits'. Gợi ý nạp thêm. Không cho phép tạo artwork. Không trừ credits</t>
  </si>
  <si>
    <t>TC_CRD_008</t>
  </si>
  <si>
    <t>US-42b</t>
  </si>
  <si>
    <t>Credits - Daily Reset</t>
  </si>
  <si>
    <t>Reset đúng theo timezone</t>
  </si>
  <si>
    <t>1. Truy cập vào trang 
2. Kiểm tra thời điểm reset</t>
  </si>
  <si>
    <t>Reset lúc 00:00 theo timezone server/user</t>
  </si>
  <si>
    <t>TC_CRD_005</t>
  </si>
  <si>
    <t>US-42</t>
  </si>
  <si>
    <t>Credits - Spend</t>
  </si>
  <si>
    <t>Dùng credits khi balance = 0</t>
  </si>
  <si>
    <t>1. Truy cập vào trang 
2. Thử Generate</t>
  </si>
  <si>
    <t>Hiển thị: 'Hết credits'. Không cho thực hiện</t>
  </si>
  <si>
    <t>TC_AI_001</t>
  </si>
  <si>
    <t>Nhập prompt → 4 preview ảnh</t>
  </si>
  <si>
    <t>1. Truy cập vào trang 
2. Nhập prompt tiếng Việt
3. Chọn style: Digital Art
4. Click 'Generate'</t>
  </si>
  <si>
    <t>Loading state. Trả về 4 ảnh preview low-res trong 30-60s. Trừ 1 credit</t>
  </si>
  <si>
    <t>TC_AI_005</t>
  </si>
  <si>
    <t>Generate khi đang generate (double click)</t>
  </si>
  <si>
    <t>1. Truy cập vào trang 
2. Click 'Generate' 2 lần nhanh</t>
  </si>
  <si>
    <t>Chỉ 1 request được xử lý. Button disabled khi đang loading</t>
  </si>
  <si>
    <t>TC_AI_008</t>
  </si>
  <si>
    <t>US-39</t>
  </si>
  <si>
    <t>AI Gen - UX</t>
  </si>
  <si>
    <t>Aha Moment messages khi render</t>
  </si>
  <si>
    <t>1. Truy cập vào trang 
2. Quan sát loading state</t>
  </si>
  <si>
    <t>Messages xoay vui: 'Đang pha màu...', 'AI đang vẽ...'</t>
  </si>
  <si>
    <t>TC_AI_006</t>
  </si>
  <si>
    <t>Chọn 1 ảnh → upscale ≥2048px</t>
  </si>
  <si>
    <t>1. Truy cập vào trang 
2. Click 'Dùng ngay' trên ảnh 1</t>
  </si>
  <si>
    <t>Upscale 2k/4k. Lưu My Gallery. Chuyển sang Editor</t>
  </si>
  <si>
    <t>TC_DS_032</t>
  </si>
  <si>
    <t>Tạo Artwork thành công (happy path đầy đủ)</t>
  </si>
  <si>
    <t>1. Mở Design Studio → AI Panel (bên phải)
2. Nhập: 'Rồng Việt Nam phong cách watercolor'
3. Chọn style 'Watercolor'
4. Click '✨ Tạo Artwork Mới'</t>
  </si>
  <si>
    <t>Loading state hiển thị. Artwork mới xuất hiện trên canvas. Credits giảm 3 (từ 12 → 9)</t>
  </si>
  <si>
    <t>TC_DS_006</t>
  </si>
  <si>
    <t>Click style card để chọn phong cách AI</t>
  </si>
  <si>
    <t>1. Mở Design Studio → AI Panel (bên phải)
2. Click card 'Watercolor'
3. Click card 'Retro'</t>
  </si>
  <si>
    <t>Style card được chọn có highlight (border đậm hoặc background đổi). Style trước đó bỏ highlight</t>
  </si>
  <si>
    <t>TC_DS_026</t>
  </si>
  <si>
    <t>Click 'Chọn từ thư viện' trong ẢNH THAM KHẢO</t>
  </si>
  <si>
    <t>1. Mở Design Studio → AI Panel (bên phải)
2. Click nút 'Chọn từ thư viện' tại phần ẢNH THAM KHẢO</t>
  </si>
  <si>
    <t>Mở modal/gallery thư viện ảnh tham khảo. Cho phép chọn ảnh làm reference cho AI generate</t>
  </si>
  <si>
    <t>TC_DS_027</t>
  </si>
  <si>
    <t>Click 'Tải ảnh lên' trong ẢNH THAM KHẢO</t>
  </si>
  <si>
    <t>1. Mở Design Studio → AI Panel (bên phải)
2. Click nút 'Tải ảnh lên' tại phần ẢNH THAM KHẢO</t>
  </si>
  <si>
    <t>Mở native file picker (OS dialog). Chấp nhận file ảnh PNG/JPG. Ảnh upload hiển thị preview tại phần ẢNH THAM KHẢO</t>
  </si>
  <si>
    <t>TC_DS_029</t>
  </si>
  <si>
    <t>Click style card 'Line Art' chọn phong cách</t>
  </si>
  <si>
    <t>1. Mở Design Studio → AI Panel (bên phải)
2. Click card 'Line Art'</t>
  </si>
  <si>
    <t>Card 'Line Art' highlight (border đậm). Các card khác bỏ highlight</t>
  </si>
  <si>
    <t>TC_DS_030</t>
  </si>
  <si>
    <t>Click style card 'Grunge' chọn phong cách</t>
  </si>
  <si>
    <t>1. Mở Design Studio → AI Panel (bên phải)
2. Click card 'Grunge'</t>
  </si>
  <si>
    <t>Card 'Grunge' highlight. Các card khác bỏ highlight</t>
  </si>
  <si>
    <t>TC_DS_031</t>
  </si>
  <si>
    <t>Click style card 'Flat Design' chọn phong cách</t>
  </si>
  <si>
    <t>1. Mở Design Studio → AI Panel (bên phải)
2. Click card 'Flat Design'</t>
  </si>
  <si>
    <t>Card 'Flat Design' highlight. Các card khác bỏ highlight</t>
  </si>
  <si>
    <t>TC_CRD_006</t>
  </si>
  <si>
    <t>Credits refill mỗi 24h</t>
  </si>
  <si>
    <t>1. Truy cập vào trang 
2. Chờ qua 00:00
3. Kiểm tra balance</t>
  </si>
  <si>
    <t>Balance tự refill về mức mặc định (vd: 10 credits)</t>
  </si>
  <si>
    <t>TC_CRD_007</t>
  </si>
  <si>
    <t>Partial usage → reset full</t>
  </si>
  <si>
    <t>Balance refill full = 10 (không cộng dồn 3+10)</t>
  </si>
  <si>
    <t>TC_CRD_001</t>
  </si>
  <si>
    <t>Credits - Profile</t>
  </si>
  <si>
    <t>Xem số dư credits trong header/profile</t>
  </si>
  <si>
    <t>1. Truy cập vào trang 
2. Nhìn header</t>
  </si>
  <si>
    <t>Hiển thị: '10 credits'</t>
  </si>
  <si>
    <t>TC_CRD_002</t>
  </si>
  <si>
    <t>Balance update sau khi dùng</t>
  </si>
  <si>
    <t>1. Truy cập vào trang 
2. Generate 1 ảnh AI
3. Nhìn header</t>
  </si>
  <si>
    <t>Balance: 10 → 9. Update realtime</t>
  </si>
  <si>
    <t>TC_CRD_003</t>
  </si>
  <si>
    <t>Dùng credits cho AI generate</t>
  </si>
  <si>
    <t>1. Truy cập vào trang 
2. Click Generate
3. Kiểm tra balance</t>
  </si>
  <si>
    <t>Trừ credit đúng số lượng. Không yêu cầu thanh toán</t>
  </si>
  <si>
    <t>TC_CRD_004</t>
  </si>
  <si>
    <t>Dùng credits cho upscale</t>
  </si>
  <si>
    <t>1. Truy cập vào trang 
2. Click 'Dùng ngay' (upscale)
3. Kiểm tra balance</t>
  </si>
  <si>
    <t>Trừ credits cho upscale</t>
  </si>
  <si>
    <t>TC_DS_013</t>
  </si>
  <si>
    <t>Nhập XSS vào textarea MÔ TẢ ARTWORK</t>
  </si>
  <si>
    <t>1. Mở Design Studio
2. Nhập '&lt;script&gt;alert(1)&lt;/script&gt;' vào textarea
3. Click '✨ Tạo Artwork Mới'</t>
  </si>
  <si>
    <t>TC_AI_012</t>
  </si>
  <si>
    <t>AI Gen - Network</t>
  </si>
  <si>
    <t>Generate khi mất mạng giữa chừng</t>
  </si>
  <si>
    <t>1. Truy cập vào trang 
2. Ngắt mạng giữa quá trình render</t>
  </si>
  <si>
    <t>Timeout message. Không trừ credit nếu chưa có kết quả</t>
  </si>
  <si>
    <t>TC_CAR_UI_809</t>
  </si>
  <si>
    <t>DS - OrderModal</t>
  </si>
  <si>
    <t>Màn hình Cart: Browser Zoom In/Out (50% - 200%) giữ nguyên layout</t>
  </si>
  <si>
    <t>1. Truy cập trang Cart.
2. Nhấn Ctrl/Cmd + [+] để Zoom In 200%.
3. Nhấn Ctrl/Cmd + [-] để Zoom Out 50%.
4. Cuộn và quan sát toàn màn hình.</t>
  </si>
  <si>
    <t>TC_CAR_UI_833</t>
  </si>
  <si>
    <t>Màn hình Cart: Responsive trên Android Tablet (Chrome, Dọc - Portrait)</t>
  </si>
  <si>
    <t>1. Truy cập trang Cart trên Tablet Android ở chế độ cầm dọc (Portrait).
2. Thao tác trên giao diện.</t>
  </si>
  <si>
    <t>TC_CAR_UI_831</t>
  </si>
  <si>
    <t>Màn hình Cart: Responsive trên Android Phone (Chrome, Dọc - Portrait)</t>
  </si>
  <si>
    <t>1. Truy cập trang Cart trên điện thoại Android chế độ cầm dọc (Portrait).
2. Cuộn lên/xuống toàn bộ trang.
3. Focus vào các input (bàn phím ảo hiện lên).</t>
  </si>
  <si>
    <t>TC_CAR_UI_834</t>
  </si>
  <si>
    <t>Màn hình Cart: Responsive chế độ Xoay Ngang (Landscape - Điện thoại/Tablet)</t>
  </si>
  <si>
    <t>TC_CAR_UI_832</t>
  </si>
  <si>
    <t>Màn hình Cart: Responsive trên iPad (Safari, Dọc - Portrait)</t>
  </si>
  <si>
    <t>1. Truy cập trang Cart trên iPad ở chế độ cầm dọc (Portrait).
2. Quan sát bố cục.</t>
  </si>
  <si>
    <t>TC_CAR_UI_830</t>
  </si>
  <si>
    <t>Màn hình Cart: Responsive trên iPhone (Safari/Chrome, Dọc - Portrait)</t>
  </si>
  <si>
    <t>1. Truy cập trang Cart trên iPhone ở chế độ cầm dọc (Portrait).
2. Cuộn lên/xuống toàn trang.
3. Tap thử các nút bấm, input field.</t>
  </si>
  <si>
    <t>TC_DSDH_UI_004</t>
  </si>
  <si>
    <t>Đặt hàng - Bottom Bar</t>
  </si>
  <si>
    <t>Nút 'Đặt hàng' style nổi bật</t>
  </si>
  <si>
    <t>1. Mở Design Studio
2. Quan sát nút 'Đặt hàng' trên bottom bar</t>
  </si>
  <si>
    <t>Nút 'Đặt hàng' có background đậm, text trắng, bo tròn. Đủ lớn để click. Có hover effect</t>
  </si>
  <si>
    <t>TC_DSDH_UI_001</t>
  </si>
  <si>
    <t>Đặt hàng - Panel</t>
  </si>
  <si>
    <t>OrderModal (popup từ StatusBar): Form đặt hàng hiển thị đầy đủ</t>
  </si>
  <si>
    <t>1. Mở Design Studio
2. Click nút 'Đặt hàng' trên StatusBar → OrderModal
3. Quan sát panel</t>
  </si>
  <si>
    <t>Hiển thị form đặt hàng: thông tin sản phẩm (tên, màu, size), ảnh preview thiết kế, số lượng selector, tổng giá. Nút 'Đặt hàng' nổi bật</t>
  </si>
  <si>
    <t>TC_DSDH_UI_002</t>
  </si>
  <si>
    <t>Thông tin giá hiển thị rõ ràng</t>
  </si>
  <si>
    <t>1. Mở DS → OrderModal (popup từ StatusBar)
2. Quan sát phần giá</t>
  </si>
  <si>
    <t>Hiển thị: Đơn giá, Số lượng, Phí in (nếu có), Tổng cộng. Font size tổng cộng lớn hơn, đậm hơn. Đơn vị tiền VNĐ rõ ràng</t>
  </si>
  <si>
    <t>TC_DSDH_UI_003</t>
  </si>
  <si>
    <t>Preview thiết kế trong form đặt hàng</t>
  </si>
  <si>
    <t>1. Mở DS (có artwork trên canvas) → OrderModal (popup từ StatusBar)
2. Quan sát preview</t>
  </si>
  <si>
    <t>Hiển thị ảnh preview sản phẩm với thiết kế đã tạo. Preview rõ nét, tương ứng với canvas</t>
  </si>
  <si>
    <t>TC_PRO_007</t>
  </si>
  <si>
    <t>MH Chi tiết SP</t>
  </si>
  <si>
    <t>US-12</t>
  </si>
  <si>
    <t>Sản phẩm - Size</t>
  </si>
  <si>
    <t>Size Chart responsive mobile</t>
  </si>
  <si>
    <t>1. Truy cập vào trang 
2. Mở bảng size trên mobile</t>
  </si>
  <si>
    <t>Bảng scroll ngang hoặc stack. Không bị cắt cột</t>
  </si>
  <si>
    <t>TC_CART_UI_003</t>
  </si>
  <si>
    <t>MH Giỏ hàng</t>
  </si>
  <si>
    <t>US-20</t>
  </si>
  <si>
    <t>Giỏ hàng - Empty</t>
  </si>
  <si>
    <t>MH Giỏ hàng: Empty state khi giỏ trống</t>
  </si>
  <si>
    <t>1. Mở MH Giỏ hàng (chưa thêm sản phẩm)
2. Quan sát nội dung</t>
  </si>
  <si>
    <t>Hiển thị empty state: icon giỏ hàng trống + text 'Giỏ hàng trống' + nút CTA 'Thiết kế ngay' hoặc 'Khám phá sản phẩm'</t>
  </si>
  <si>
    <t>TC_CART_UI_001</t>
  </si>
  <si>
    <t>Giỏ hàng - Layout</t>
  </si>
  <si>
    <t>MH Giỏ hàng: Layout danh sách sản phẩm</t>
  </si>
  <si>
    <t>1. Click icon Giỏ hàng trên header
2. Quan sát layout</t>
  </si>
  <si>
    <t>Hiển thị danh sách sản phẩm đã thêm. Mỗi item có: ảnh thumbnail thiết kế, tên sản phẩm, màu, size, input số lượng (+/-), giá, nút xóa (X). Header: 'Giỏ hàng (N sản phẩm)'</t>
  </si>
  <si>
    <t>TC_CART_UI_002</t>
  </si>
  <si>
    <t>MH Giỏ hàng: Tổng tiền và nút Thanh toán</t>
  </si>
  <si>
    <t>1. Mở MH Giỏ hàng (có sản phẩm)
2. Quan sát phần bottom</t>
  </si>
  <si>
    <t>Hiển thị: Tạm tính (giá × qty), Phí ship (nếu đã chọn), Tổng cộng (font lớn, bold). Nút 'Thanh toán' full-width, background đậm, text trắng</t>
  </si>
  <si>
    <t>TC_CART_UI_860</t>
  </si>
  <si>
    <t>MH Giỏ hàng: Browser Zoom In/Out (50%-200%)</t>
  </si>
  <si>
    <t>1. Truy cập MH Giỏ hàng
2. Zoom In 200% / Zoom Out 50%</t>
  </si>
  <si>
    <t>Layout giữ nguyên. Nút Thanh toán không bị che khuất. Danh sách sản phẩm scrollable</t>
  </si>
  <si>
    <t>TC_CART_UI_864</t>
  </si>
  <si>
    <t>MH Giỏ hàng: Responsive Android Tablet (Portrait)</t>
  </si>
  <si>
    <t>1. Truy cập MH Giỏ hàng trên Tablet Android Portrait</t>
  </si>
  <si>
    <t>Tương tự iPad. Touch targets đủ lớn</t>
  </si>
  <si>
    <t>TC_CART_UI_862</t>
  </si>
  <si>
    <t>MH Giỏ hàng: Responsive Android Phone (Portrait)</t>
  </si>
  <si>
    <t>1. Truy cập MH Giỏ hàng trên Android Portrait</t>
  </si>
  <si>
    <t>Tương tự iPhone. Bàn phím ảo không che nút Thanh toán</t>
  </si>
  <si>
    <t>TC_CART_UI_865</t>
  </si>
  <si>
    <t>MH Giỏ hàng: Responsive Landscape</t>
  </si>
  <si>
    <t>1. Xoay ngang thiết bị từ dọc</t>
  </si>
  <si>
    <t>UI tự sắp xếp lại. Nút Thanh toán vẫn hiển thị đầy đủ</t>
  </si>
  <si>
    <t>TC_CART_UI_863</t>
  </si>
  <si>
    <t>MH Giỏ hàng: Responsive iPad (Portrait)</t>
  </si>
  <si>
    <t>1. Truy cập MH Giỏ hàng trên iPad Portrait</t>
  </si>
  <si>
    <t>Layout 2 cột (danh sách + tổng tiền) hoặc 1 cột hợp lý</t>
  </si>
  <si>
    <t>TC_CART_UI_861</t>
  </si>
  <si>
    <t>MH Giỏ hàng: Responsive iPhone (Portrait)</t>
  </si>
  <si>
    <t>1. Truy cập MH Giỏ hàng trên iPhone Portrait
2. Thao tác với các items</t>
  </si>
  <si>
    <t>Không thanh cuộn ngang. Items hiển thị dạng card stacking. Nút xóa dễ tap. Touch targets ≥44px</t>
  </si>
  <si>
    <t>TC_DH_SC_011</t>
  </si>
  <si>
    <t>OrderTab - Discount</t>
  </si>
  <si>
    <t>&lt;10 chiếc → KHÔNG giảm giá</t>
  </si>
  <si>
    <t>1. OrderModal
2. Thêm 5 chiếc</t>
  </si>
  <si>
    <t>Dòng 'Giảm SL' KHÔNG hiển thị. Tổng = giá gốc. discountPercent = 0</t>
  </si>
  <si>
    <t>TC_DH_SC_015</t>
  </si>
  <si>
    <t>OrderTab - Promo</t>
  </si>
  <si>
    <t>Mã sai → hiện 'Mã không hợp lệ hoặc đã hết hạn'</t>
  </si>
  <si>
    <t>1. OrderModal → Nhập mã 'INVALIDCODE'
2. Click 'Áp dụng'</t>
  </si>
  <si>
    <t>Hiển thị dòng đỏ: 'Mã không hợp lệ hoặc đã hết hạn'. Mã không được áp dụng</t>
  </si>
  <si>
    <t>TC_DSDH_V_004</t>
  </si>
  <si>
    <t>Thanh toán</t>
  </si>
  <si>
    <t>Thanh toán thiếu thông tin bắt buộc</t>
  </si>
  <si>
    <t>1. Từ Mua ngay → Trang Thanh toán
2. Để trống các field bắt buộc (tên, địa chỉ, SĐT)
3. Click Xác nhận</t>
  </si>
  <si>
    <t>Hiển thị validation error cho từng field trống. Không tạo đơn hàng</t>
  </si>
  <si>
    <t>TC_DSDH_V_001</t>
  </si>
  <si>
    <t>Đặt hàng khi canvas trống (không có thiết kế)</t>
  </si>
  <si>
    <t>1. Mở DS (canvas trống, không có artwork)
2. Click 'Đặt hàng'</t>
  </si>
  <si>
    <t>Hiển thị thông báo: 'Vui lòng thêm thiết kế trước khi đặt hàng'. Không cho phép checkout với áo trống</t>
  </si>
  <si>
    <t>TC_DSDH_V_002</t>
  </si>
  <si>
    <t>Số lượng = 0 hoặc âm</t>
  </si>
  <si>
    <t>1. Mở DS → OrderModal (popup từ StatusBar)
2. Nhập số lượng = 0 hoặc -1</t>
  </si>
  <si>
    <t>Không cho phép đặt với số lượng ≤ 0. Nút disabled hoặc hiển thị validation error. Số lượng tối thiểu = 1</t>
  </si>
  <si>
    <t>TC_DSDH_V_003</t>
  </si>
  <si>
    <t>Số lượng vượt giới hạn tối đa</t>
  </si>
  <si>
    <t>1. Mở DS → OrderModal (popup từ StatusBar)
2. Nhập số lượng = 99999</t>
  </si>
  <si>
    <t>Hiển thị giới hạn tối đa (ví dụ: 100). Không cho phép vượt. Thông báo 'Số lượng tối đa là X'</t>
  </si>
  <si>
    <t>TC_PRO_005</t>
  </si>
  <si>
    <t>US-11</t>
  </si>
  <si>
    <t>Sản phẩm - Color</t>
  </si>
  <si>
    <t>Đổi màu nhiều lần liên tiếp</t>
  </si>
  <si>
    <t>1. Truy cập vào trang 
2. Click Navy
3. Click White
4. Click Red nhanh liên tục</t>
  </si>
  <si>
    <t>Mockup update mượt, không lag/flicker</t>
  </si>
  <si>
    <t>TC_ORD_002</t>
  </si>
  <si>
    <t>Giỏ hàng - Add</t>
  </si>
  <si>
    <t>Add với qty = 0</t>
  </si>
  <si>
    <t>1. Truy cập vào trang 
2. Nhập Qty: 0
3. Click 'Add to Cart'</t>
  </si>
  <si>
    <t>Validation: qty phải &gt;= 1</t>
  </si>
  <si>
    <t>TC_CART_V_001</t>
  </si>
  <si>
    <t>Giỏ hàng - Qty</t>
  </si>
  <si>
    <t>Cập nhật số lượng = 0</t>
  </si>
  <si>
    <t>1. Mở Giỏ hàng
2. Giảm qty xuống 0</t>
  </si>
  <si>
    <t>Hiển thị confirm xóa item hoặc tự động xóa. Qty tối thiểu = 1</t>
  </si>
  <si>
    <t>TC_CART_V_002</t>
  </si>
  <si>
    <t>Nhập số lượng bằng chữ</t>
  </si>
  <si>
    <t>1. Mở Giỏ hàng
2. Nhập qty: 'abc'</t>
  </si>
  <si>
    <t>Input chỉ nhận số. Không crash</t>
  </si>
  <si>
    <t>TC_CART_V_003</t>
  </si>
  <si>
    <t>Số lượng vượt tối đa (&gt;100)</t>
  </si>
  <si>
    <t>1. Mở Giỏ hàng
2. Nhập qty: 999</t>
  </si>
  <si>
    <t>Giới hạn tối đa hoặc hiển thị warning</t>
  </si>
  <si>
    <t>TC_DH_SC_007</t>
  </si>
  <si>
    <t>10-29 chiếc → giảm 5%</t>
  </si>
  <si>
    <t>1. OrderModal
2. Thêm tổng 10+ chiếc (vd: S×5, M×5)</t>
  </si>
  <si>
    <t>Hiển thị dòng 'Giảm SL −5%' màu xanh. Số tiền giảm = 5% × subtotal. Source: {min:10, percent:5}</t>
  </si>
  <si>
    <t>TC_DH_SC_008</t>
  </si>
  <si>
    <t>30-49 chiếc → giảm 10%</t>
  </si>
  <si>
    <t>1. OrderModal
2. Thêm tổng 30+ chiếc</t>
  </si>
  <si>
    <t>Hiển thị 'Giảm SL −10%'. Source: {min:30, percent:10}</t>
  </si>
  <si>
    <t>TC_DH_SC_009</t>
  </si>
  <si>
    <t>50-99 chiếc → giảm 15%</t>
  </si>
  <si>
    <t>1. OrderModal
2. Thêm tổng 50+ chiếc</t>
  </si>
  <si>
    <t>Hiển thị 'Giảm SL −15%'. Source: {min:50, percent:15}</t>
  </si>
  <si>
    <t>TC_DH_SC_010</t>
  </si>
  <si>
    <t>100+ chiếc → giảm 20%</t>
  </si>
  <si>
    <t>1. OrderModal
2. Thêm tổng 100+ chiếc</t>
  </si>
  <si>
    <t>Hiển thị 'Giảm SL −20%'. Source: {min:100, percent:20}</t>
  </si>
  <si>
    <t>TC_DH_SC_001</t>
  </si>
  <si>
    <t>OrderTab - Pricing</t>
  </si>
  <si>
    <t>Giá sizes S/M/L = 120.000đ</t>
  </si>
  <si>
    <t>1. Mở DS → OrderModal
2. Chọn size S, M hoặc L</t>
  </si>
  <si>
    <t>Giá mỗi chiếc = 120.000đ. Hiển thị đúng trong bảng giá. Source: SIZE_PRICES = {S:120000, M:120000, L:120000}</t>
  </si>
  <si>
    <t>TC_DH_SC_002</t>
  </si>
  <si>
    <t>Giá size XL = 130.000đ</t>
  </si>
  <si>
    <t>1. Mở DS → OrderModal
2. Chọn size XL</t>
  </si>
  <si>
    <t>Giá mỗi chiếc = 130.000đ. Chênh +10k so với S/M/L</t>
  </si>
  <si>
    <t>TC_DH_SC_003</t>
  </si>
  <si>
    <t>Giá size 2XL = 140.000đ</t>
  </si>
  <si>
    <t>1. Mở DS → OrderModal
2. Chọn size 2XL</t>
  </si>
  <si>
    <t>Giá mỗi chiếc = 140.000đ. Chênh +20k so với S/M/L</t>
  </si>
  <si>
    <t>TC_DH_SC_004</t>
  </si>
  <si>
    <t>Phí in DTG = 30.000đ/chiếc</t>
  </si>
  <si>
    <t>1. Có artwork trên canvas
2. Mở OrderModal, thêm size S ×1</t>
  </si>
  <si>
    <t>Dòng 'Phí in DTG' hiển thị = 30.000đ × số chiếc. Source: PRINT_COST=30000</t>
  </si>
  <si>
    <t>TC_DH_SC_005</t>
  </si>
  <si>
    <t>Phí thiết kế = 5.000đ (cố định)</t>
  </si>
  <si>
    <t>1. Có artwork trên canvas
2. Mở OrderModal</t>
  </si>
  <si>
    <t>Dòng 'Phí thiết kế' hiển thị = 5.000đ (cố định, không nhân theo số lượng). Source: DESIGN_FEE=5000</t>
  </si>
  <si>
    <t>TC_DH_SC_006</t>
  </si>
  <si>
    <t>Không có artwork → KHÔNG tính phí in + phí thiết kế</t>
  </si>
  <si>
    <t>1. Canvas trống (không có artwork)
2. Mở OrderModal</t>
  </si>
  <si>
    <t>Dòng 'Phí in DTG' và 'Phí thiết kế' KHÔNG hiển thị. Tổng = chỉ tiền áo. Source: hasDesign=false check</t>
  </si>
  <si>
    <t>TC_DH_SC_012</t>
  </si>
  <si>
    <t>Mã TRYONIC20 → giảm 20%</t>
  </si>
  <si>
    <t>1. OrderModal → Nhập mã 'TRYONIC20'
2. Click 'Áp dụng'</t>
  </si>
  <si>
    <t>Hiển thị 'Mã TRYONIC20 (−20%)' màu teal. Số tiền giảm = 20% × subtotal</t>
  </si>
  <si>
    <t>TC_DH_SC_013</t>
  </si>
  <si>
    <t>Mã WELCOME10 → giảm 10%</t>
  </si>
  <si>
    <t>1. OrderModal → Nhập mã 'WELCOME10'
2. Click 'Áp dụng'</t>
  </si>
  <si>
    <t>Hiển thị 'Mã WELCOME10 (−10%)'. Áp dụng thành công</t>
  </si>
  <si>
    <t>TC_DH_SC_014</t>
  </si>
  <si>
    <t>Mã VIP15 → giảm 15%</t>
  </si>
  <si>
    <t>1. OrderModal → Nhập mã 'VIP15'
2. Click 'Áp dụng'</t>
  </si>
  <si>
    <t>Hiển thị 'Mã VIP15 (−15%)'. Áp dụng thành công</t>
  </si>
  <si>
    <t>TC_DH_SC_016</t>
  </si>
  <si>
    <t>Xóa mã promo đã áp dụng (nút X)</t>
  </si>
  <si>
    <t>1. Áp dụng mã thành công
2. Click nút X cạnh mã</t>
  </si>
  <si>
    <t>Mã bị xóa. Dòng giảm giá biến mất. Tổng tính lại = giá gốc. Input promo reset</t>
  </si>
  <si>
    <t>TC_DH_SC_019</t>
  </si>
  <si>
    <t>OrderTab - Size</t>
  </si>
  <si>
    <t>Click 'Bảng size' mở SizeChartModal</t>
  </si>
  <si>
    <t>1. OrderModal
2. Click link 'Bảng size'</t>
  </si>
  <si>
    <t>Mở modal hiển thị bảng size S-2XL với thông số: Vai, Ngực, Dài áo (cm). Có nút đóng</t>
  </si>
  <si>
    <t>TC_DH_SC_020</t>
  </si>
  <si>
    <t>Click 'Gợi ý size' mở SizeSuggestionModal</t>
  </si>
  <si>
    <t>1. OrderModal
2. Click link 'Gợi ý size'</t>
  </si>
  <si>
    <t>Mở modal 'Gợi ý size cho bạn'. Form: Giới tính (Nam/Nữ), Chiều cao (cm), Cân nặng (kg). Nút 'Tìm size phù hợp'</t>
  </si>
  <si>
    <t>TC_DH_SC_017</t>
  </si>
  <si>
    <t>OrderTab - Trust</t>
  </si>
  <si>
    <t>3 Trust badges hiển thị đầy đủ</t>
  </si>
  <si>
    <t>1. Mở OrderModal
2. Scroll xuống phần Trust</t>
  </si>
  <si>
    <t>Hiển thị 3 badges: 'Đổi size 7 ngày' (RefreshCw), 'Bảo hành 14 ngày' (Shield), 'Free ship từ 500k' (Truck). Mỗi badge có icon xanh + text</t>
  </si>
  <si>
    <t>TC_DH_SC_018</t>
  </si>
  <si>
    <t>Savings comparison hiển thị</t>
  </si>
  <si>
    <t>1. Mở OrderModal
2. Quan sát phần so sánh giá</t>
  </si>
  <si>
    <t>Hiển thị: 'Sản phẩm tương đương tại Local Brand: ~350.000đ' (gạch bỏ). Badge: 'Tiết kiệm ~151k ✨' bg-green</t>
  </si>
  <si>
    <t>TC_DSDH_F_009</t>
  </si>
  <si>
    <t>Luồng thanh toán thành công (happy path)</t>
  </si>
  <si>
    <t>1. Từ Giỏ hàng/Mua ngay → Trang Thanh toán
2. Điền thông tin giao hàng
3. Chọn phương thức thanh toán
4. Xác nhận đơn</t>
  </si>
  <si>
    <t>Đơn hàng được tạo thành công. Hiển thị trang xác nhận đơn hàng với mã đơn. Giỏ hàng được xóa</t>
  </si>
  <si>
    <t>TC_DS_007</t>
  </si>
  <si>
    <t>Click nút 'Đặt hàng' trên bottom bar</t>
  </si>
  <si>
    <t>1. Mở Design Studio
2. Click nút 'Đặt hàng' ở góc phải bottom bar</t>
  </si>
  <si>
    <t>Chuyển sang flow checkout / đặt hàng. Thông tin sản phẩm (loại, màu, size, giá) được truyền đúng</t>
  </si>
  <si>
    <t>TC_DSDH_F_008</t>
  </si>
  <si>
    <t>Đặt hàng - Header</t>
  </si>
  <si>
    <t>Click icon 'Giỏ hàng' trên header → MH Giỏ hàng</t>
  </si>
  <si>
    <t>1. Mở Design Studio
2. Click icon Giỏ hàng (🛒) trên header</t>
  </si>
  <si>
    <t>Chuyển đến màn hình Giỏ hàng. Hiển thị danh sách sản phẩm đã thêm. Mỗi item có: ảnh, tên, size, số lượng, giá. Có nút xóa, chỉnh số lượng</t>
  </si>
  <si>
    <t>TC_DSDH_F_006</t>
  </si>
  <si>
    <t>Click nút 'Mua ngay'</t>
  </si>
  <si>
    <t>1. Mở DS → OrderModal (popup từ StatusBar) (có thiết kế, đã chọn size/số lượng)
2. Click nút 'Mua ngay'</t>
  </si>
  <si>
    <t>Chuyển sang trang Thanh toán (Checkout). Thông tin sản phẩm, size, số lượng, giá được truyền đúng</t>
  </si>
  <si>
    <t>TC_DSDH_F_007</t>
  </si>
  <si>
    <t>Click nút 'Thêm vào giỏ'</t>
  </si>
  <si>
    <t>1. Mở DS → OrderModal (popup từ StatusBar) (có thiết kế, đã chọn size/số lượng)
2. Click nút 'Thêm vào giỏ'</t>
  </si>
  <si>
    <t>Sản phẩm được thêm vào giỏ hàng. Badge số trên icon Giỏ hàng (header) tăng lên. Toast/snackbar 'Đã thêm vào giỏ hàng' hiển thị</t>
  </si>
  <si>
    <t>TC_DS_025</t>
  </si>
  <si>
    <t>Click nút 'Đặt hàng' trên StatusBar → OrderModal xem nội dung</t>
  </si>
  <si>
    <t>1. Mở Design Studio
2. Click nút 'Đặt hàng' trên StatusBar → OrderModal (🛒 icon)</t>
  </si>
  <si>
    <t>OrderModal (popup từ StatusBar) active. Panel hiển thị form đặt hàng với thông tin sản phẩm, số lượng, và tùy chọn checkout</t>
  </si>
  <si>
    <t>TC_DSDH_F_001</t>
  </si>
  <si>
    <t>Thay đổi số lượng → Tổng giá cập nhật</t>
  </si>
  <si>
    <t>1. Mở DS → OrderModal (popup từ StatusBar)
2. Tăng số lượng từ 1 → 3</t>
  </si>
  <si>
    <t>Tổng giá = Đơn giá × 3. Hiển thị cập nhật realtime. Bottom bar cũng cập nhật tổng giá</t>
  </si>
  <si>
    <t>TC_DSDH_F_002</t>
  </si>
  <si>
    <t>Thông tin sản phẩm đồng bộ từ popup sản phẩm</t>
  </si>
  <si>
    <t>1. Popup Sản phẩm (ProductSelectorModal) → Chọn áo Đen, size XL
2. Chuyển sang OrderModal</t>
  </si>
  <si>
    <t>Form hiển thị đúng: Màu Đen, Size XL, giá tương ứng. Không bị sai lệch thông tin</t>
  </si>
  <si>
    <t>TC_DSDH_F_003</t>
  </si>
  <si>
    <t>Đặt hàng khi chưa đăng nhập → Redirect login</t>
  </si>
  <si>
    <t>1. Truy cập Guest → Mở DS
2. Click 'Đặt hàng'</t>
  </si>
  <si>
    <t>Redirect đến trang đăng nhập hoặc hiển thị popup login. Sau khi login, quay lại flow đặt hàng</t>
  </si>
  <si>
    <t>TC_DSDH_F_004</t>
  </si>
  <si>
    <t>Chọn nhiều size cho 1 đơn hàng</t>
  </si>
  <si>
    <t>1. Mở DS → OrderModal (popup từ StatusBar)
2. Thêm nhiều size (VD: S x2, M x1, L x3)</t>
  </si>
  <si>
    <t>Mỗi size hiển thị số lượng riêng. Tổng giá cập nhật đúng theo tổng số lượng tất cả sizes</t>
  </si>
  <si>
    <t>TC_DSDH_F_005</t>
  </si>
  <si>
    <t>Click nút 'Chi tiết' xem thông tin sản phẩm</t>
  </si>
  <si>
    <t>1. Mở DS → OrderModal (popup từ StatusBar)
2. Click nút 'Chi tiết'</t>
  </si>
  <si>
    <t>Mở modal/popup hiển thị chi tiết sản phẩm: chất liệu, mô tả, bảng size, hướng dẫn bảo quản. Có nút đóng</t>
  </si>
  <si>
    <t>TC_PRO_004</t>
  </si>
  <si>
    <t>Chọn màu realtime mockup</t>
  </si>
  <si>
    <t>1. Truy cập vào trang 
2. Click swatch Navy</t>
  </si>
  <si>
    <t>Áo mockup đổi màu Navy ngay. Artwork không bị ảnh hưởng</t>
  </si>
  <si>
    <t>TC_PRO_012</t>
  </si>
  <si>
    <t>US-12c</t>
  </si>
  <si>
    <t>Sản phẩm - Plain</t>
  </si>
  <si>
    <t>Mua áo trơn không cần Editor</t>
  </si>
  <si>
    <t>1. Truy cập vào trang 
2. Click 'Mua ngay'
3. Chọn Size, Qty</t>
  </si>
  <si>
    <t>Add trơn vào giỏ. Không mở Editor</t>
  </si>
  <si>
    <t>TC_PRO_013</t>
  </si>
  <si>
    <t>Mua áo trơn chọn màu</t>
  </si>
  <si>
    <t>1. Truy cập vào trang 
2. Chọn màu Black
3. Chọn Size L
4. Click 'Thêm vào giỏ'</t>
  </si>
  <si>
    <t>Giỏ hàng hiện: Áo trơn Black, Size L</t>
  </si>
  <si>
    <t>TC_PRO_001</t>
  </si>
  <si>
    <t>Sản phẩm - Select</t>
  </si>
  <si>
    <t>Chọn loại áo T-shirt</t>
  </si>
  <si>
    <t>1. Truy cập vào trang 
2. Click menu sản phẩm
3. Chọn 'T-shirt Round Neck'</t>
  </si>
  <si>
    <t>Mockup đổi sang T-shirt. Canvas resize đúng vùng in</t>
  </si>
  <si>
    <t>TC_PRO_002</t>
  </si>
  <si>
    <t>Chọn loại áo Polo</t>
  </si>
  <si>
    <t>1. Truy cập vào trang 
2. Chọn 'Polo'</t>
  </si>
  <si>
    <t>Mockup đổi sang Polo. Vùng in khác T-shirt</t>
  </si>
  <si>
    <t>TC_PRO_003</t>
  </si>
  <si>
    <t>Switch sản phẩm giữ nguyên design</t>
  </si>
  <si>
    <t>1. Truy cập vào trang 
2. Đổi từ T-shirt sang Polo</t>
  </si>
  <si>
    <t>Design giữ nguyên. Warning nếu artwork lấn safe zone mới</t>
  </si>
  <si>
    <t>TC_PRO_006</t>
  </si>
  <si>
    <t>Xem Size Chart S-2XL hiển thị đúng</t>
  </si>
  <si>
    <t>1. Truy cập vào trang 
2. Click 'Bảng size'
3. Đọc thông số</t>
  </si>
  <si>
    <t>Hiển thị bảng: S/M/L/XL/2XL với Vai/Ngực/Dài áo (cm). Data chính xác</t>
  </si>
  <si>
    <t>TC_ORD_001</t>
  </si>
  <si>
    <t>Add designed product vào giỏ</t>
  </si>
  <si>
    <t>1. Truy cập vào trang 
2. Chọn Size L, Qty 1
3. Click 'Add to Cart'</t>
  </si>
  <si>
    <t>Giỏ hàng +1 item: thumbnail, type, color, size L, giá, qty 1</t>
  </si>
  <si>
    <t>TC_ORD_003</t>
  </si>
  <si>
    <t>Add áo trơn vào giỏ</t>
  </si>
  <si>
    <t>1. Truy cập vào trang 
2. Chọn Size M, Color White
3. Click 'Add to Cart'</t>
  </si>
  <si>
    <t>Giỏ hàng +1 áo trơn White M</t>
  </si>
  <si>
    <t>TC_ORD_004</t>
  </si>
  <si>
    <t>Add nhiều SP khác nhau vào giỏ</t>
  </si>
  <si>
    <t>1. Truy cập vào trang 
2. Add T-shirt Design L
3. Add Polo trơn M</t>
  </si>
  <si>
    <t>Giỏ hàng hiện 2 items đúng</t>
  </si>
  <si>
    <t>TC_CART_F_004</t>
  </si>
  <si>
    <t>Giỏ hàng - Checkout</t>
  </si>
  <si>
    <t>Click nút 'Thanh toán' từ giỏ hàng</t>
  </si>
  <si>
    <t>1. Mở Giỏ hàng (có ≥1 item)
2. Click 'Thanh toán'</t>
  </si>
  <si>
    <t>Chuyển sang trang Checkout. Thông tin sản phẩm, qty, giá truyền đúng. Nếu chưa login → popup login</t>
  </si>
  <si>
    <t>TC_CART_F_003</t>
  </si>
  <si>
    <t>Giỏ hàng - Delete</t>
  </si>
  <si>
    <t>Xóa sản phẩm khỏi giỏ</t>
  </si>
  <si>
    <t>1. Mở Giỏ hàng
2. Click nút xóa (X) trên item
3. Confirm xóa</t>
  </si>
  <si>
    <t>Item biến mất. Tổng giá cập nhật. Badge giỏ hàng trên header giảm. Nếu hết item → empty state</t>
  </si>
  <si>
    <t>TC_CART_F_006</t>
  </si>
  <si>
    <t>Giỏ hàng - Multiple</t>
  </si>
  <si>
    <t>Thêm cùng sản phẩm nhưng khác size/màu</t>
  </si>
  <si>
    <t>1. Thêm áo Trắng L vào giỏ
2. Thêm áo Đen M vào giỏ</t>
  </si>
  <si>
    <t>2 items riêng biệt hiển thị trong giỏ. Tổng = giá item 1 + giá item 2</t>
  </si>
  <si>
    <t>TC_CART_F_005</t>
  </si>
  <si>
    <t>Giỏ hàng - Persist</t>
  </si>
  <si>
    <t>Refresh trang → giỏ hàng vẫn giữ nguyên</t>
  </si>
  <si>
    <t>1. Thêm sản phẩm vào giỏ
2. Refresh trình duyệt
3. Mở lại giỏ hàng</t>
  </si>
  <si>
    <t>Giỏ hàng giữ nguyên items, qty, thông tin. Data persist qua localStorage hoặc server</t>
  </si>
  <si>
    <t>TC_CART_F_001</t>
  </si>
  <si>
    <t>Tăng số lượng sản phẩm (+)</t>
  </si>
  <si>
    <t>1. Mở Giỏ hàng
2. Click nút + tăng qty từ 1 → 3</t>
  </si>
  <si>
    <t>Qty hiển thị = 3. Tổng giá = Đơn giá × 3. Cập nhật realtime</t>
  </si>
  <si>
    <t>TC_CART_F_002</t>
  </si>
  <si>
    <t>Giảm số lượng sản phẩm (-)</t>
  </si>
  <si>
    <t>1. Mở Giỏ hàng (qty = 3)
2. Click nút - giảm qty → 2</t>
  </si>
  <si>
    <t>Qty = 2. Tổng giá cập nhật. Nút - disabled khi qty = 1</t>
  </si>
  <si>
    <t>TC_ORD_F_SIZE_001</t>
  </si>
  <si>
    <t>US-ORD-SIZE</t>
  </si>
  <si>
    <t>OrderModal: Truyền selectedSize prop</t>
  </si>
  <si>
    <t>1. Chọn size trên canvas
2. Mở OrderModal</t>
  </si>
  <si>
    <t>Size đã chọn trước đó auto-select trong OrderTab</t>
  </si>
  <si>
    <t>TC_CHE_UI_811</t>
  </si>
  <si>
    <t>MH Checkout</t>
  </si>
  <si>
    <t>Màn hình Checkout: Browser Zoom In/Out (50% - 200%) giữ nguyên layout</t>
  </si>
  <si>
    <t>1. Truy cập trang Checkout.
2. Nhấn Ctrl/Cmd + [+] để Zoom In 200%.
3. Nhấn Ctrl/Cmd + [-] để Zoom Out 50%.
4. Cuộn và quan sát toàn màn hình.</t>
  </si>
  <si>
    <t>TC_PAY_UI_813</t>
  </si>
  <si>
    <t>Màn hình Payment: Browser Zoom In/Out (50% - 200%) giữ nguyên layout</t>
  </si>
  <si>
    <t>1. Truy cập trang Payment.
2. Nhấn Ctrl/Cmd + [+] để Zoom In 200%.
3. Nhấn Ctrl/Cmd + [-] để Zoom Out 50%.
4. Cuộn và quan sát toàn màn hình.</t>
  </si>
  <si>
    <t>TC_CHE_UI_838</t>
  </si>
  <si>
    <t>Màn hình Checkout: Responsive trên Android Tablet (Chrome, Dọc - Portrait)</t>
  </si>
  <si>
    <t>1. Truy cập trang Checkout trên Tablet Android ở chế độ cầm dọc (Portrait).
2. Thao tác trên giao diện.</t>
  </si>
  <si>
    <t>TC_PAY_UI_843</t>
  </si>
  <si>
    <t>Màn hình Payment: Responsive trên Android Tablet (Chrome, Dọc - Portrait)</t>
  </si>
  <si>
    <t>1. Truy cập trang Payment trên Tablet Android ở chế độ cầm dọc (Portrait).
2. Thao tác trên giao diện.</t>
  </si>
  <si>
    <t>TC_CHE_UI_836</t>
  </si>
  <si>
    <t>Màn hình Checkout: Responsive trên Android Phone (Chrome, Dọc - Portrait)</t>
  </si>
  <si>
    <t>1. Truy cập trang Checkout trên điện thoại Android chế độ cầm dọc (Portrait).
2. Cuộn lên/xuống toàn bộ trang.
3. Focus vào các input (bàn phím ảo hiện lên).</t>
  </si>
  <si>
    <t>TC_PAY_UI_841</t>
  </si>
  <si>
    <t>Màn hình Payment: Responsive trên Android Phone (Chrome, Dọc - Portrait)</t>
  </si>
  <si>
    <t>1. Truy cập trang Payment trên điện thoại Android chế độ cầm dọc (Portrait).
2. Cuộn lên/xuống toàn bộ trang.
3. Focus vào các input (bàn phím ảo hiện lên).</t>
  </si>
  <si>
    <t>TC_CHE_UI_839</t>
  </si>
  <si>
    <t>Màn hình Checkout: Responsive chế độ Xoay Ngang (Landscape - Điện thoại/Tablet)</t>
  </si>
  <si>
    <t>TC_PAY_UI_844</t>
  </si>
  <si>
    <t>Màn hình Payment: Responsive chế độ Xoay Ngang (Landscape - Điện thoại/Tablet)</t>
  </si>
  <si>
    <t>TC_CHE_UI_837</t>
  </si>
  <si>
    <t>Màn hình Checkout: Responsive trên iPad (Safari, Dọc - Portrait)</t>
  </si>
  <si>
    <t>1. Truy cập trang Checkout trên iPad ở chế độ cầm dọc (Portrait).
2. Quan sát bố cục.</t>
  </si>
  <si>
    <t>TC_PAY_UI_842</t>
  </si>
  <si>
    <t>Màn hình Payment: Responsive trên iPad (Safari, Dọc - Portrait)</t>
  </si>
  <si>
    <t>1. Truy cập trang Payment trên iPad ở chế độ cầm dọc (Portrait).
2. Quan sát bố cục.</t>
  </si>
  <si>
    <t>TC_CHE_UI_835</t>
  </si>
  <si>
    <t>Màn hình Checkout: Responsive trên iPhone (Safari/Chrome, Dọc - Portrait)</t>
  </si>
  <si>
    <t>1. Truy cập trang Checkout trên iPhone ở chế độ cầm dọc (Portrait).
2. Cuộn lên/xuống toàn trang.
3. Tap thử các nút bấm, input field.</t>
  </si>
  <si>
    <t>TC_PAY_UI_840</t>
  </si>
  <si>
    <t>Màn hình Payment: Responsive trên iPhone (Safari/Chrome, Dọc - Portrait)</t>
  </si>
  <si>
    <t>1. Truy cập trang Payment trên iPhone ở chế độ cầm dọc (Portrait).
2. Cuộn lên/xuống toàn trang.
3. Tap thử các nút bấm, input field.</t>
  </si>
  <si>
    <t>TC_ORD_UI_018</t>
  </si>
  <si>
    <t>UI/UX</t>
  </si>
  <si>
    <t>Checkout page: Layout và text hiển thị đúng</t>
  </si>
  <si>
    <t>1. Truy cập vào trang 
2. Quan sát block Giỏ hàng và Phương thức</t>
  </si>
  <si>
    <t>Tiêu đề hiện 'Giỏ hàng (2 sản phẩm)'. Shipping options: 'Standard (3-5 ngày)', 'Fast (1-2 ngày)'. Payment options: 'Ví POD', 'Chuyển khoản', 'COD'</t>
  </si>
  <si>
    <t>TC_CONF_UI_002</t>
  </si>
  <si>
    <t>MH Xác nhận đơn</t>
  </si>
  <si>
    <t>US-25</t>
  </si>
  <si>
    <t>Confirmation - CTA</t>
  </si>
  <si>
    <t>Nút CTA sau khi đặt hàng</t>
  </si>
  <si>
    <t>1. Quan sát trang xác nhận đơn</t>
  </si>
  <si>
    <t>Hiển thị 2 nút CTA: 'Xem đơn hàng' (→ Order Detail) và 'Tiếp tục mua sắm' (→ Home). Nút nổi bật, dễ click</t>
  </si>
  <si>
    <t>TC_CONF_UI_001</t>
  </si>
  <si>
    <t>Confirmation - Layout</t>
  </si>
  <si>
    <t>MH Xác nhận đơn: Mã đơn và chi tiết</t>
  </si>
  <si>
    <t>1. Hoàn tất thanh toán thành công
2. Quan sát trang xác nhận</t>
  </si>
  <si>
    <t>Hiển thị: icon thành công (✓), 'Đặt hàng thành công!', Mã đơn (#ORD-XXXX), Chi tiết sản phẩm (ảnh, tên, size, qty, giá), Tổng thanh toán, Địa chỉ giao hàng</t>
  </si>
  <si>
    <t>TC_CKM_UI_001</t>
  </si>
  <si>
    <t>MH Checkout Modal</t>
  </si>
  <si>
    <t>US-CKM-01</t>
  </si>
  <si>
    <t>Checkout Modal - Header</t>
  </si>
  <si>
    <t>CheckoutModal: Step indicator 1/2 hiển thị</t>
  </si>
  <si>
    <t>1. Mở CheckoutModal</t>
  </si>
  <si>
    <t>Header: progress dots (active bar teal), title 'Bước 1/2 — Thông tin nhận hàng'. Nút X đóng</t>
  </si>
  <si>
    <t>TC_CKM_UI_002</t>
  </si>
  <si>
    <t>Checkout Modal - Drawer</t>
  </si>
  <si>
    <t>CheckoutModal: Drawer slide-in từ phải</t>
  </si>
  <si>
    <t>Drawer 480px max-width, slide từ phải (slideInRight animation). Backdrop blur</t>
  </si>
  <si>
    <t>TC_ORD_006</t>
  </si>
  <si>
    <t>US-21</t>
  </si>
  <si>
    <t>Address</t>
  </si>
  <si>
    <t>Bỏ trống Phone</t>
  </si>
  <si>
    <t>1. Truy cập vào trang 
2. Bỏ trống Phone
3. Click tiếp</t>
  </si>
  <si>
    <t>Hiển thị lỗi: 'Vui lòng nhập số điện thoại'</t>
  </si>
  <si>
    <t>TC_ORD_007</t>
  </si>
  <si>
    <t>Phone format sai</t>
  </si>
  <si>
    <t>1. Truy cập vào trang 
2. Nhập Phone: abc</t>
  </si>
  <si>
    <t>Validation error: format SĐT không hợp lệ</t>
  </si>
  <si>
    <t>TC_TT_SC_014</t>
  </si>
  <si>
    <t>US-23</t>
  </si>
  <si>
    <t>Checkout - Promo</t>
  </si>
  <si>
    <t>Mã sai trên checkout → 'Mã không hợp lệ'</t>
  </si>
  <si>
    <t>1. Nhập mã 'INVALIDCODE'
2. Click 'Áp dụng'</t>
  </si>
  <si>
    <t>Hiển thị text đỏ: 'Mã không hợp lệ'. Mã không được áp dụng</t>
  </si>
  <si>
    <t>TC_TT_SC_018</t>
  </si>
  <si>
    <t>Checkout - Redirect</t>
  </si>
  <si>
    <t>Truy cập checkout không có order data → redirect studio</t>
  </si>
  <si>
    <t>1. Truy cập trực tiếp /studio/checkout (không qua flow mua hàng)
2. Không có localStorage 'checkout_order'</t>
  </si>
  <si>
    <t>Auto redirect về /studio. Không hiển thị trang checkout trống</t>
  </si>
  <si>
    <t>TC_TT_SC_010</t>
  </si>
  <si>
    <t>Checkout - Shipping</t>
  </si>
  <si>
    <t>Submit thiếu field bắt buộc → scroll đến form</t>
  </si>
  <si>
    <t>1. Để trống Họ tên và SĐT
2. Click 'Thanh toán'</t>
  </si>
  <si>
    <t>Hiển thị error đỏ: 'Vui lòng nhập họ tên', 'Vui lòng nhập số điện thoại'. Auto-scroll đến section shipping</t>
  </si>
  <si>
    <t>TC_ORD_011</t>
  </si>
  <si>
    <t>Discount</t>
  </si>
  <si>
    <t>Áp mã hết hạn</t>
  </si>
  <si>
    <t>1. Truy cập vào trang 
2. Nhập code hết hạn</t>
  </si>
  <si>
    <t>Hiển thị: 'Mã giảm giá đã hết hạn'</t>
  </si>
  <si>
    <t>TC_ORD_012</t>
  </si>
  <si>
    <t>Áp mã không tồn tại</t>
  </si>
  <si>
    <t>1. Truy cập vào trang 
2. Nhập mã không tồn tại</t>
  </si>
  <si>
    <t>Hiển thị: 'Mã giảm giá không hợp lệ'</t>
  </si>
  <si>
    <t>TC_ORD_017</t>
  </si>
  <si>
    <t>US-24</t>
  </si>
  <si>
    <t>Online</t>
  </si>
  <si>
    <t>Ví POD không đủ Credits</t>
  </si>
  <si>
    <t>1. Truy cập vào trang 
2. Chọn 'Ví POD'</t>
  </si>
  <si>
    <t>Hiển thị báo lỗi không đủ số dư. Chọn phương thức khác</t>
  </si>
  <si>
    <t>TC_CK_V_ADDR_001</t>
  </si>
  <si>
    <t>US-CK-ADDR</t>
  </si>
  <si>
    <t>Checkout - No Address</t>
  </si>
  <si>
    <t>Checkout: Submit khi chưa chọn địa chỉ</t>
  </si>
  <si>
    <t>1. Vào checkout
2. Không chọn địa chỉ nào
3. Click 'Thanh toán'</t>
  </si>
  <si>
    <t>Scroll đến section-shipping. Nút disabled (gray) khi isFormValid=false</t>
  </si>
  <si>
    <t>TC_CK_V_ADDR_002</t>
  </si>
  <si>
    <t>Checkout - Invalid Promo</t>
  </si>
  <si>
    <t>Checkout: Nhập mã khuyến mại sai</t>
  </si>
  <si>
    <t>1. Click 'Nhập mã khuyến mại'
2. Nhập 'INVALID'
3. Click 'Áp dụng'</t>
  </si>
  <si>
    <t>Error đỏ 'Mã không hợp lệ'. Không áp dụng giảm giá</t>
  </si>
  <si>
    <t>TC_CKM_V_001</t>
  </si>
  <si>
    <t>US-CKM-03</t>
  </si>
  <si>
    <t>Checkout Modal - Invalid Step1</t>
  </si>
  <si>
    <t>CheckoutModal: 'Tiếp tục' khi form empty</t>
  </si>
  <si>
    <t>1. Không điền gì
2. Click 'Tiếp tục →'</t>
  </si>
  <si>
    <t>Nút disabled (bg-gray-300, cursor-not-allowed). Không chuyển step</t>
  </si>
  <si>
    <t>TC_CKM_V_002</t>
  </si>
  <si>
    <t>Checkout Modal - Countdown Zero</t>
  </si>
  <si>
    <t>CheckoutModal: Countdown hết giờ</t>
  </si>
  <si>
    <t>1. Chờ countdown về 0:00</t>
  </si>
  <si>
    <t>Banner biến mất (seconds &lt;= 0 return null). Ưu đãi hết hạn</t>
  </si>
  <si>
    <t>TC_ORD_005</t>
  </si>
  <si>
    <t>Nhập địa chỉ đầy đủ</t>
  </si>
  <si>
    <t>1. Truy cập vào trang 
2. Nhập Name, Phone, Address
3. Chọn City/Dist/Ward</t>
  </si>
  <si>
    <t>Tính phí ship. Hiển thị tổng tiền</t>
  </si>
  <si>
    <t>TC_TT_SC_005</t>
  </si>
  <si>
    <t>Checkout - Auth</t>
  </si>
  <si>
    <t>Auth banner hiển thị khi chưa login</t>
  </si>
  <si>
    <t>1. Truy cập checkout (Guest)
2. Quan sát auth section</t>
  </si>
  <si>
    <t>Banner hiển thị: 'Đăng nhập để mua nhanh hơn', subtitle 'Auto-fill thông tin, theo dõi đơn hàng'. 3 nút: Facebook (xanh), Google (trắng), Email (xám). Nút X để đóng</t>
  </si>
  <si>
    <t>TC_TT_SC_006</t>
  </si>
  <si>
    <t>Login Facebook trên checkout → auto-fill form</t>
  </si>
  <si>
    <t>1. Click nút 'Facebook' trên auth banner</t>
  </si>
  <si>
    <t>Mock login thành công. Form shipping tự động điền: Nguyễn Văn A, 0901234567, a.nguyen@gmail.com, TP.HCM, Quận 1, 123 Lê Lợi. Banner auth biến mất</t>
  </si>
  <si>
    <t>TC_TT_SC_007</t>
  </si>
  <si>
    <t>Login Email trên checkout</t>
  </si>
  <si>
    <t>1. Click nút 'Email'
2. Nhập email + password
3. Click 'Đăng nhập'</t>
  </si>
  <si>
    <t>Hiển thị inline form (email + password). Sau login → auto-fill form. Banner hiển thị: '✓ Đã đăng nhập — thông tin được tự động điền'</t>
  </si>
  <si>
    <t>TC_TT_SC_008</t>
  </si>
  <si>
    <t>Chuyển đổi đăng nhập ↔ đăng ký trên checkout</t>
  </si>
  <si>
    <t>1. Click 'Email' → form đăng nhập
2. Click 'Đăng ký' ở bottom</t>
  </si>
  <si>
    <t>Form chuyển thành mode đăng ký. Text đổi: 'Đăng ký tài khoản'. Nút 'Đăng ký'</t>
  </si>
  <si>
    <t>TC_TT_SC_003</t>
  </si>
  <si>
    <t>Checkout - Countdown</t>
  </si>
  <si>
    <t>Countdown banner hiển thị 15:00 phút</t>
  </si>
  <si>
    <t>1. Mở checkout
2. Quan sát banner trên cùng</t>
  </si>
  <si>
    <t>Banner gradient teal-orange: icon Flame + text 'Freeship + Giảm 20k' + subtitle 'Hoàn tất thanh toán trong thời gian ưu đãi' + countdown MM:SS (bắt đầu từ 15:00)</t>
  </si>
  <si>
    <t>TC_TT_SC_004</t>
  </si>
  <si>
    <t>Countdown đếm ngược realtime</t>
  </si>
  <si>
    <t>1. Mở checkout
2. Chờ 10 giây
3. Quan sát countdown</t>
  </si>
  <si>
    <t>Timer giảm từ 15:00 → 14:50. Khi hết → banner biến mất (seconds &lt;= 0 return null)</t>
  </si>
  <si>
    <t>TC_TT_SC_001</t>
  </si>
  <si>
    <t>Checkout - Layout</t>
  </si>
  <si>
    <t>Header checkout hiển thị 'Thanh toán' + nút Quay lại</t>
  </si>
  <si>
    <t>1. Navigate đến /studio/checkout
2. Quan sát header</t>
  </si>
  <si>
    <t>Header sticky: nút '← Quay lại Studio' (trái), text 'Thanh toán' (phải). Background white, border-bottom</t>
  </si>
  <si>
    <t>TC_TT_SC_002</t>
  </si>
  <si>
    <t>Page title: 'Hoàn tất đơn hàng'</t>
  </si>
  <si>
    <t>1. Mở trang checkout
2. Quan sát tiêu đề</t>
  </si>
  <si>
    <t>H1: 'Hoàn tất đơn hàng'. Subtitle: 'Nhập thông tin giao hàng và thanh toán'. Font 2xl, font-black</t>
  </si>
  <si>
    <t>TC_TT_SC_015</t>
  </si>
  <si>
    <t>Checkout - Payment</t>
  </si>
  <si>
    <t>Phương thức thanh toán: Ví MoMo (mặc định)</t>
  </si>
  <si>
    <t>1. Mở checkout
2. Quan sát phần payment</t>
  </si>
  <si>
    <t>Hiển thị: 'Ví MoMo' với logo MoMo (bg-[#a50064]). Radio checked mặc định. Badge ✓ xanh. Text: 'Thanh toán qua ví điện tử MoMo'</t>
  </si>
  <si>
    <t>TC_TT_SC_012</t>
  </si>
  <si>
    <t>Checkout - Pricing</t>
  </si>
  <si>
    <t>Phí giao hàng = 30k (gạch bỏ) + Freeship + Giảm 20k</t>
  </si>
  <si>
    <t>1. Mở checkout
2. Quan sát phần pricing</t>
  </si>
  <si>
    <t>Hiển thị: 'Phí giao hàng' = 30.000đ (gạch bỏ line-through). Dòng xanh: 'Ưu đãi Freeship + Giảm 20k' = −50.000đ (SHIPPING_FEE + FLASH_DISCOUNT)</t>
  </si>
  <si>
    <t>TC_TT_SC_013</t>
  </si>
  <si>
    <t>Mã TRYONIC10 → giảm 10% trên checkout</t>
  </si>
  <si>
    <t>1. Click 'Nhập mã khuyến mại (nếu có)'
2. Nhập 'TRYONIC10'
3. Click 'Áp dụng'</t>
  </si>
  <si>
    <t>Mã áp dụng thành công: 'Mã TRYONIC10 (−10%)'. Tổng thanh toán giảm. Nút X để xóa mã</t>
  </si>
  <si>
    <t>TC_TT_SC_009</t>
  </si>
  <si>
    <t>3 fields bắt buộc: Họ tên, SĐT, Địa chỉ</t>
  </si>
  <si>
    <t>1. Mở checkout
2. Quan sát form</t>
  </si>
  <si>
    <t>3 fields có dấu * (required): 'Họ tên', 'Số điện thoại', 'Địa chỉ chi tiết'. Fields: Email, Tỉnh/Thành, Quận/Huyện, Phường/Xã là optional</t>
  </si>
  <si>
    <t>TC_TT_SC_011</t>
  </si>
  <si>
    <t>SĐT helper text hiển thị</t>
  </si>
  <si>
    <t>1. Quan sát field SĐT</t>
  </si>
  <si>
    <t>Helper text dưới input: 'Số điện thoại 10 chữ số'. Text xám nhẹ, 13px</t>
  </si>
  <si>
    <t>TC_TT_SC_016</t>
  </si>
  <si>
    <t>Checkout - Submit</t>
  </si>
  <si>
    <t>Thanh toán thành công → Success view</t>
  </si>
  <si>
    <t>1. Điền đầy đủ form
2. Click 'Thanh toán {tổng tiền}'
3. Chờ 1.5s loading</t>
  </si>
  <si>
    <t>Loading: 'Đang kết nối MoMo...'. Success view: icon ✓ xanh, 'Đặt hàng thành công!', mã đơn '#TRY-XXXXXX', tổng thanh toán, phương thức 'MoMo', trạng thái 'Đã thanh toán'</t>
  </si>
  <si>
    <t>TC_TT_SC_017</t>
  </si>
  <si>
    <t>Checkout - Success</t>
  </si>
  <si>
    <t>Success: Nút 'Tiếp tục thiết kế' + 'Xem đơn hàng'</t>
  </si>
  <si>
    <t>1. Trang success
2. Click 'Tiếp tục thiết kế'</t>
  </si>
  <si>
    <t>Navigate về /studio. localStorage xóa 'checkout_order'. Nút 'Xem đơn hàng' navigate đến /orders</t>
  </si>
  <si>
    <t>TC_ORD_008</t>
  </si>
  <si>
    <t>US-22</t>
  </si>
  <si>
    <t>Delivery</t>
  </si>
  <si>
    <t>Chọn Standard delivery</t>
  </si>
  <si>
    <t>1. Truy cập vào trang 
2. Chọn 'Standard (3-5 ngày)'</t>
  </si>
  <si>
    <t>Tổng tiền = SP + phí Standard. Update realtime</t>
  </si>
  <si>
    <t>TC_ORD_009</t>
  </si>
  <si>
    <t>Đổi sang Fast Delivery</t>
  </si>
  <si>
    <t>1. Truy cập vào trang 
2. Đổi sang 'Fast (1-2 ngày)'</t>
  </si>
  <si>
    <t>Phí ship tăng. Tổng cập nhật realtime</t>
  </si>
  <si>
    <t>TC_ORD_010</t>
  </si>
  <si>
    <t>Áp mã giảm giá hợp lệ</t>
  </si>
  <si>
    <t>1. Truy cập vào trang 
2. Nhập code: PODNEW10
3. Click 'Áp dụng'</t>
  </si>
  <si>
    <t>Tiền giảm. Badge hiển thị mã đã áp</t>
  </si>
  <si>
    <t>TC_ORD_013</t>
  </si>
  <si>
    <t>Áp 2 mã cùng lúc</t>
  </si>
  <si>
    <t>1. Truy cập vào trang 
2. Áp mã 1 thành công
3. Áp mã 2</t>
  </si>
  <si>
    <t>Tùy BR: thay thế mã cũ hoặc báo chỉ dùng 1 mã</t>
  </si>
  <si>
    <t>TC_ORD_015</t>
  </si>
  <si>
    <t>Thanh toán Chuyển khoản ngân hàng thành công</t>
  </si>
  <si>
    <t>1. Truy cập vào trang 
2. Chọn 'Chuyển khoản ngân hàng'
3. Hoàn tất thanh toán</t>
  </si>
  <si>
    <t>Status đơn = 'Chờ xác nhận'. Email Receipt gửi</t>
  </si>
  <si>
    <t>TC_ORD_016</t>
  </si>
  <si>
    <t>Thanh toán bằng Ví POD Credits</t>
  </si>
  <si>
    <t>1. Truy cập vào trang 
2. Chọn 'Ví POD (25 credits)'
3. Thanh toán</t>
  </si>
  <si>
    <t>Trừ credit. Status đơn = 'Chờ xác nhận'</t>
  </si>
  <si>
    <t>TC_ORD_014</t>
  </si>
  <si>
    <t>US-23b</t>
  </si>
  <si>
    <t>Transparency</t>
  </si>
  <si>
    <t>Xem Cost Breakdown chart</t>
  </si>
  <si>
    <t>1. Truy cập vào trang 
2. Click 'Tại sao giá này?'</t>
  </si>
  <si>
    <t>Hiện chart: Phôi áo + Chi phí in + Phí ship. Tổng khớp</t>
  </si>
  <si>
    <t>TC_CONF_F_001</t>
  </si>
  <si>
    <t>Confirmation - Navigate</t>
  </si>
  <si>
    <t>Click 'Xem đơn hàng' → Chi tiết đơn</t>
  </si>
  <si>
    <t>1. Trang xác nhận đơn
2. Click 'Xem đơn hàng'</t>
  </si>
  <si>
    <t>Chuyển sang trang chi tiết đơn. Hiển thị timeline trạng thái</t>
  </si>
  <si>
    <t>TC_CONF_F_002</t>
  </si>
  <si>
    <t>Click 'Tiếp tục mua sắm' → Home</t>
  </si>
  <si>
    <t>1. Trang xác nhận đơn
2. Click 'Tiếp tục mua sắm'</t>
  </si>
  <si>
    <t>Redirect về trang chủ /home/</t>
  </si>
  <si>
    <t>TC_CK_F_ADDR_001</t>
  </si>
  <si>
    <t>Checkout - AddressPicker</t>
  </si>
  <si>
    <t>Checkout: Chọn địa chỉ từ AddressPicker</t>
  </si>
  <si>
    <t>1. Vào checkout
2. Chọn địa chỉ saved</t>
  </si>
  <si>
    <t>AddressPicker render trong section 'Địa chỉ nhận hàng'. Chọn = form valid. Nút thanh toán enabled</t>
  </si>
  <si>
    <t>TC_CK_F_ADDR_002</t>
  </si>
  <si>
    <t>Checkout - Flash Discount</t>
  </si>
  <si>
    <t>Checkout: Flash discount -20k auto-apply</t>
  </si>
  <si>
    <t>1. Vào checkout
2. Quan sát pricing</t>
  </si>
  <si>
    <t>Line 'Ưu đãi Freeship + Giảm 20k' hiển thị. Shipping fee gạch ngang. −50,000đ (30k ship + 20k flash)</t>
  </si>
  <si>
    <t>TC_CK_F_ADDR_003</t>
  </si>
  <si>
    <t>Checkout - Promo on Checkout</t>
  </si>
  <si>
    <t>Checkout: Nhập mã khuyến mại trên checkout</t>
  </si>
  <si>
    <t>1. Click 'Nhập mã khuyến mại'
2. Nhập 'TRYONIC10'
3. Click 'Áp dụng'</t>
  </si>
  <si>
    <t>Mã applied: -10% tổng. Line hiển thị 'Mã TRYONIC10 (−10%)'. Có nút X để xóa</t>
  </si>
  <si>
    <t>TC_CK_F_ADDR_004</t>
  </si>
  <si>
    <t>Checkout - Savings Compare</t>
  </si>
  <si>
    <t>Checkout: So sánh tiết kiệm vs Local Brand</t>
  </si>
  <si>
    <t>1. Scroll đến trust section</t>
  </si>
  <si>
    <t>Hiển thị 'Sản phẩm tương đương tại Local Brand: ~350,000₫' + PiggyBank icon 'Tiết kiệm ~151k'</t>
  </si>
  <si>
    <t>TC_CKM_F_001</t>
  </si>
  <si>
    <t>US-CKM-02</t>
  </si>
  <si>
    <t>Checkout Modal - Step 1</t>
  </si>
  <si>
    <t>CheckoutModal: Step 1 Shipping + Auth</t>
  </si>
  <si>
    <t>1. Mở CheckoutModal
2. Điền form shipping</t>
  </si>
  <si>
    <t>Auth banner với Facebook/Google/Email. Form: Họ tên*, SĐT*, Email, Tỉnh/Quận/Phường, Địa chỉ*. 'Tiếp tục →' enabled khi valid</t>
  </si>
  <si>
    <t>TC_CKM_F_002</t>
  </si>
  <si>
    <t>Checkout Modal - Auth Login</t>
  </si>
  <si>
    <t>CheckoutModal: Login auto-fill form</t>
  </si>
  <si>
    <t>1. Click Facebook hoặc Google</t>
  </si>
  <si>
    <t>Mock login → auto-fill tất cả fields. Badge xanh 'Đã đăng nhập'. Auth banner biến mất</t>
  </si>
  <si>
    <t>TC_CKM_F_003</t>
  </si>
  <si>
    <t>Checkout Modal - Skip Auth</t>
  </si>
  <si>
    <t>CheckoutModal: Bỏ qua đăng nhập</t>
  </si>
  <si>
    <t>1. Click 'Tiếp tục không cần tài khoản →'</t>
  </si>
  <si>
    <t>Auth banner biến mất. Form vẫn enable để điền manual</t>
  </si>
  <si>
    <t>TC_CKM_F_004</t>
  </si>
  <si>
    <t>Checkout Modal - Step 2</t>
  </si>
  <si>
    <t>CheckoutModal: Step 2 Confirm + Payment</t>
  </si>
  <si>
    <t>1. Điền form → Click 'Tiếp tục'
2. Xem Step 2</t>
  </si>
  <si>
    <t>CountdownBanner 15:00. Shipping summary. Order items + sizes. Pricing breakdown. Trust badges (Đổi size 7 ngày, BH 14 ngày). Cost bars. MoMo payment</t>
  </si>
  <si>
    <t>TC_CKM_F_005</t>
  </si>
  <si>
    <t>Checkout Modal - Submit</t>
  </si>
  <si>
    <t>CheckoutModal: Thanh toán thành công</t>
  </si>
  <si>
    <t>1. Step 2 → Click 'Thanh toán'</t>
  </si>
  <si>
    <t>Processing spinner 1.5s. Step 3: Check icon, 'Đặt hàng thành công!', order code #TRY-XXXXXX, +10 Bonus Credits celebration card</t>
  </si>
  <si>
    <t>TC_CKM_F_006</t>
  </si>
  <si>
    <t>Checkout Modal - Bonus Credits</t>
  </si>
  <si>
    <t>CheckoutModal: +10 Bonus Credits celebration</t>
  </si>
  <si>
    <t>1. Sau khi thanh toán thành công</t>
  </si>
  <si>
    <t>Card amber gradient: Sparkles icon, '+10 Bonus Credits'. Text: 'Credits này không bị reset hàng ngày'. Button 'Dùng ngay tạo AI Artwork'. localStorage credit updated</t>
  </si>
  <si>
    <t>TC_CKM_F_007</t>
  </si>
  <si>
    <t>Checkout Modal - Back Step</t>
  </si>
  <si>
    <t>CheckoutModal: Nút '← Quay lại' giữa steps</t>
  </si>
  <si>
    <t>1. Step 2 → Click '← Quay lại'</t>
  </si>
  <si>
    <t>Quay về Step 1, form data giữ nguyên</t>
  </si>
  <si>
    <t>TC_ACC_UI_817</t>
  </si>
  <si>
    <t>MH Đăng nhập</t>
  </si>
  <si>
    <t>Màn hình Account: Browser Zoom In/Out (50% - 200%) giữ nguyên layout</t>
  </si>
  <si>
    <t>1. Truy cập trang Account.
2. Nhấn Ctrl/Cmd + [+] để Zoom In 200%.
3. Nhấn Ctrl/Cmd + [-] để Zoom Out 50%.
4. Cuộn và quan sát toàn màn hình.</t>
  </si>
  <si>
    <t>TC_LOG_UI_803</t>
  </si>
  <si>
    <t>Màn hình Login: Browser Zoom In/Out (50% - 200%) giữ nguyên layout</t>
  </si>
  <si>
    <t>1. Truy cập trang Login.
2. Nhấn Ctrl/Cmd + [+] để Zoom In 200%.
3. Nhấn Ctrl/Cmd + [-] để Zoom Out 50%.
4. Cuộn và quan sát toàn màn hình.</t>
  </si>
  <si>
    <t>TC_REG_UI_801</t>
  </si>
  <si>
    <t>Màn hình Registration: Browser Zoom In/Out (50% - 200%) giữ nguyên layout</t>
  </si>
  <si>
    <t>1. Truy cập trang Registration.
2. Nhấn Ctrl/Cmd + [+] để Zoom In 200%.
3. Nhấn Ctrl/Cmd + [-] để Zoom Out 50%.
4. Cuộn và quan sát toàn màn hình.</t>
  </si>
  <si>
    <t>TC_ACC_UI_853</t>
  </si>
  <si>
    <t>Màn hình Account: Responsive trên Android Tablet (Chrome, Dọc - Portrait)</t>
  </si>
  <si>
    <t>1. Truy cập trang Account trên Tablet Android ở chế độ cầm dọc (Portrait).
2. Thao tác trên giao diện.</t>
  </si>
  <si>
    <t>TC_LOG_UI_818</t>
  </si>
  <si>
    <t>Màn hình Login: Responsive trên Android Tablet (Chrome, Dọc - Portrait)</t>
  </si>
  <si>
    <t>1. Truy cập trang Login trên Tablet Android ở chế độ cầm dọc (Portrait).
2. Thao tác trên giao diện.</t>
  </si>
  <si>
    <t>TC_REG_UI_813</t>
  </si>
  <si>
    <t>Màn hình Registration: Responsive trên Android Tablet (Chrome, Dọc - Portrait)</t>
  </si>
  <si>
    <t>1. Truy cập trang Registration trên Tablet Android ở chế độ cầm dọc (Portrait).
2. Thao tác trên giao diện.</t>
  </si>
  <si>
    <t>TC_ACC_UI_851</t>
  </si>
  <si>
    <t>Màn hình Account: Responsive trên Android Phone (Chrome, Dọc - Portrait)</t>
  </si>
  <si>
    <t>1. Truy cập trang Account trên điện thoại Android chế độ cầm dọc (Portrait).
2. Cuộn lên/xuống toàn bộ trang.
3. Focus vào các input (bàn phím ảo hiện lên).</t>
  </si>
  <si>
    <t>TC_LOG_UI_816</t>
  </si>
  <si>
    <t>Màn hình Login: Responsive trên Android Phone (Chrome, Dọc - Portrait)</t>
  </si>
  <si>
    <t>1. Truy cập trang Login trên điện thoại Android chế độ cầm dọc (Portrait).
2. Cuộn lên/xuống toàn bộ trang.
3. Focus vào các input (bàn phím ảo hiện lên).</t>
  </si>
  <si>
    <t>TC_REG_UI_811</t>
  </si>
  <si>
    <t>Màn hình Registration: Responsive trên Android Phone (Chrome, Dọc - Portrait)</t>
  </si>
  <si>
    <t>1. Truy cập trang Registration trên điện thoại Android chế độ cầm dọc (Portrait).
2. Cuộn lên/xuống toàn bộ trang.
3. Focus vào các input (bàn phím ảo hiện lên).</t>
  </si>
  <si>
    <t>TC_ACC_UI_854</t>
  </si>
  <si>
    <t>Màn hình Account: Responsive chế độ Xoay Ngang (Landscape - Điện thoại/Tablet)</t>
  </si>
  <si>
    <t>TC_LOG_UI_819</t>
  </si>
  <si>
    <t>Màn hình Login: Responsive chế độ Xoay Ngang (Landscape - Điện thoại/Tablet)</t>
  </si>
  <si>
    <t>TC_REG_UI_814</t>
  </si>
  <si>
    <t>Màn hình Registration: Responsive chế độ Xoay Ngang (Landscape - Điện thoại/Tablet)</t>
  </si>
  <si>
    <t>TC_ACC_UI_852</t>
  </si>
  <si>
    <t>Màn hình Account: Responsive trên iPad (Safari, Dọc - Portrait)</t>
  </si>
  <si>
    <t>1. Truy cập trang Account trên iPad ở chế độ cầm dọc (Portrait).
2. Quan sát bố cục.</t>
  </si>
  <si>
    <t>TC_LOG_UI_817</t>
  </si>
  <si>
    <t>Màn hình Login: Responsive trên iPad (Safari, Dọc - Portrait)</t>
  </si>
  <si>
    <t>1. Truy cập trang Login trên iPad ở chế độ cầm dọc (Portrait).
2. Quan sát bố cục.</t>
  </si>
  <si>
    <t>TC_REG_UI_812</t>
  </si>
  <si>
    <t>Màn hình Registration: Responsive trên iPad (Safari, Dọc - Portrait)</t>
  </si>
  <si>
    <t>1. Truy cập trang Registration trên iPad ở chế độ cầm dọc (Portrait).
2. Quan sát bố cục.</t>
  </si>
  <si>
    <t>TC_ACC_UI_850</t>
  </si>
  <si>
    <t>Màn hình Account: Responsive trên iPhone (Safari/Chrome, Dọc - Portrait)</t>
  </si>
  <si>
    <t>1. Truy cập trang Account trên iPhone ở chế độ cầm dọc (Portrait).
2. Cuộn lên/xuống toàn trang.
3. Tap thử các nút bấm, input field.</t>
  </si>
  <si>
    <t>TC_LOG_UI_815</t>
  </si>
  <si>
    <t>Màn hình Login: Responsive trên iPhone (Safari/Chrome, Dọc - Portrait)</t>
  </si>
  <si>
    <t>1. Truy cập trang Login trên iPhone ở chế độ cầm dọc (Portrait).
2. Cuộn lên/xuống toàn trang.
3. Tap thử các nút bấm, input field.</t>
  </si>
  <si>
    <t>TC_REG_UI_810</t>
  </si>
  <si>
    <t>Màn hình Registration: Responsive trên iPhone (Safari/Chrome, Dọc - Portrait)</t>
  </si>
  <si>
    <t>1. Truy cập trang Registration trên iPhone ở chế độ cầm dọc (Portrait).
2. Cuộn lên/xuống toàn trang.
3. Tap thử các nút bấm, input field.</t>
  </si>
  <si>
    <t>TC_AUTH_UI_001</t>
  </si>
  <si>
    <t>US-03</t>
  </si>
  <si>
    <t>Đăng nhập - UI/UX</t>
  </si>
  <si>
    <t>Login page: Logo, Title, Subtitle hiển thị đúng</t>
  </si>
  <si>
    <t>1. Truy cập vào trang 
2. Mở trang /login
3. Quan sát phần header</t>
  </si>
  <si>
    <t>Icon login (→]) hiển thị centered. Title: 'Chào mừng trở lại!'. Subtitle: 'Lưu thiết kế và nhận thêm nhiều Credits miễn phí.' — centered. Login dạng modal popup overlay</t>
  </si>
  <si>
    <t>TC_AUTH_UI_002</t>
  </si>
  <si>
    <t>Login page: Placeholder Email field</t>
  </si>
  <si>
    <t>1. Truy cập vào trang 
2. Quan sát field Email
3. Kiểm tra placeholder</t>
  </si>
  <si>
    <t>Placeholder hiển thị: 'name@example.com'. Label 'EMAIL' phía trên (uppercase). Không có icon mail bên trái</t>
  </si>
  <si>
    <t>TC_AUTH_UI_003</t>
  </si>
  <si>
    <t>Login page: Password field - Show/Hide toggle</t>
  </si>
  <si>
    <t>1. Truy cập vào trang 
2. Nhập password: Test@123
3. Quan sát field: characters masked (●●●●●●●●)
4. Click icon eye (👁) bên phải field
5. Quan sát password</t>
  </si>
  <si>
    <t>Click eye → hiện text 'Test@123'. Click lại → mask lại. Icon lock ở bên trái</t>
  </si>
  <si>
    <t>TC_AUTH_UI_004</t>
  </si>
  <si>
    <t>Login page: Link 'Quên mật khẩu?' hoạt động</t>
  </si>
  <si>
    <t>1. Truy cập vào trang 
2. Quan sát link 'Quên mật khẩu?' (bên phải label 'Mật khẩu')
3. Click link</t>
  </si>
  <si>
    <t>Redirect sang trang Reset Password. Link hiển thị đúng vị trí, cùng hàng label 'Mật khẩu'</t>
  </si>
  <si>
    <t>TC_AUTH_UI_005</t>
  </si>
  <si>
    <t>Login page: Button 'Đăng nhập' style đúng</t>
  </si>
  <si>
    <t>1. Truy cập vào trang 
2. Quan sát button 'Đăng nhập'</t>
  </si>
  <si>
    <t>Button full-width, background màu purple/indigo (#6366F1 hoặc tương tự), text trắng, border-radius rounded, font bold</t>
  </si>
  <si>
    <t>TC_AUTH_UI_009</t>
  </si>
  <si>
    <t>Login page: Link 'Đăng ký ngay' chuyển sang Signup</t>
  </si>
  <si>
    <t>1. Truy cập vào trang 
2. Quan sát cuối form: 'Chưa có tài khoản? Đăng ký ngay'
3. Click 'Đăng ký ngay'</t>
  </si>
  <si>
    <t>Redirect sang trang /signup. Link text 'Đăng ký ngay' có màu nổi bật (blue/purple)</t>
  </si>
  <si>
    <t>TC_AUTH_UI_011</t>
  </si>
  <si>
    <t>Login page: Responsive mobile 375px</t>
  </si>
  <si>
    <t>1. Truy cập vào trang 
2. Resize browser 375px width
3. Quan sát trang login</t>
  </si>
  <si>
    <t>Card login full-width với padding. Buttons không bị cắt text. Form fields không overflow. Footer không bị đẩy ra ngoài</t>
  </si>
  <si>
    <t>TC_AUTH_UI_013</t>
  </si>
  <si>
    <t>Login page: Enter key submit form</t>
  </si>
  <si>
    <t>1. Truy cập vào trang 
2. Nhập email + password
3. Nhấn Enter</t>
  </si>
  <si>
    <t>Form submit. Đăng nhập thành công (tương đương click button 'Đăng nhập')</t>
  </si>
  <si>
    <t>TC_AUTH_UI_006</t>
  </si>
  <si>
    <t>Login page: Button 'Tiếp tục với Google' style</t>
  </si>
  <si>
    <t>1. Truy cập vào trang 
2. Quan sát button 'Tiếp tục với Google'</t>
  </si>
  <si>
    <t>Button outlined (border, no fill), full-width, có Google icon (G) bên trái text. Text: 'Tiếp tục với Google'</t>
  </si>
  <si>
    <t>TC_AUTH_UI_007</t>
  </si>
  <si>
    <t>Login page: Button 'Tiếp tục với Facebook' style</t>
  </si>
  <si>
    <t>1. Truy cập vào trang 
2. Quan sát button 'Tiếp tục với Facebook'</t>
  </si>
  <si>
    <t>Button filled blue (#1877F2), full-width, có Facebook icon (f) bên trái text. Text: 'Tiếp tục với Facebook'</t>
  </si>
  <si>
    <t>TC_AUTH_UI_008</t>
  </si>
  <si>
    <t>Login page: Separator 'HOẶC' giữa OAuth và form</t>
  </si>
  <si>
    <t>1. Truy cập vào trang 
2. Quan sát giữa 2 OAuth buttons và email form</t>
  </si>
  <si>
    <t>Hiển thị text 'HOẶC' với horizontal lines 2 bên. Centered, màu nhạt</t>
  </si>
  <si>
    <t>TC_AUTH_UI_010</t>
  </si>
  <si>
    <t>Login page: Footer links hiển thị đúng</t>
  </si>
  <si>
    <t>1. Truy cập vào trang 
2. Quan sát footer bên dưới form</t>
  </si>
  <si>
    <t>Hiển thị 3 links: 'Điều khoản dịch vụ'</t>
  </si>
  <si>
    <t>TC_AUTH_UI_012</t>
  </si>
  <si>
    <t>Login page: Tab order (keyboard navigation)</t>
  </si>
  <si>
    <t>Tab order: Google → Facebook → Email → Password → Đăng nhập → Quên mật khẩu → Đăng ký ngay</t>
  </si>
  <si>
    <t>TC_AUTH_UI_014</t>
  </si>
  <si>
    <t>Login page: Email field autofocus</t>
  </si>
  <si>
    <t>1. Truy cập vào trang 
2. Mở /login lần đầu
3. Quan sát cursor</t>
  </si>
  <si>
    <t>Cursor tự focus vào field Email. Có thể bắt đầu nhập ngay</t>
  </si>
  <si>
    <t>TC_AUTH_UI_015</t>
  </si>
  <si>
    <t>MH Đăng ký</t>
  </si>
  <si>
    <t>US-01</t>
  </si>
  <si>
    <t>Signup (Email)</t>
  </si>
  <si>
    <t>Signup page: Tiêu đề hiển thị đúng</t>
  </si>
  <si>
    <t>1. Truy cập vào trang 
2. Mở trang /signup
3. Quan sát phần header form</t>
  </si>
  <si>
    <t>Tiêu đề hiển thị: 'Đăng ký tài khoản'</t>
  </si>
  <si>
    <t>TC_AUTH_UI_017</t>
  </si>
  <si>
    <t>Signup page: Field 'Xác nhận mật khẩu' hiện diện</t>
  </si>
  <si>
    <t>1. Truy cập vào trang 
2. Quan sát danh sách các trường nhập</t>
  </si>
  <si>
    <t>Có trường 'Xác nhận mật khẩu' bên dưới trường 'Mật khẩu'</t>
  </si>
  <si>
    <t>TC_AUTH_UI_018</t>
  </si>
  <si>
    <t>Signup page: Checkbox Điều khoản</t>
  </si>
  <si>
    <t>1. Truy cập vào trang 
2. Quan sát dòng trên nút Đăng ký</t>
  </si>
  <si>
    <t>Hiển thị checkbox với text: 'Tôi đồng ý với Điều khoản và Chính sách của POD Platform'</t>
  </si>
  <si>
    <t>TC_AUTH_UI_016</t>
  </si>
  <si>
    <t>Signup page: Field 'Họ và tên' placeholder</t>
  </si>
  <si>
    <t>1. Truy cập vào trang 
2. Quan sát field 'Họ và tên'</t>
  </si>
  <si>
    <t>Placeholder hiển thị: 'Nhập họ và tên của bạn'</t>
  </si>
  <si>
    <t>TC_AUTH_UI_020</t>
  </si>
  <si>
    <t>US-02b</t>
  </si>
  <si>
    <t>Signup (Facebook)</t>
  </si>
  <si>
    <t>Signup page: Button 'Đăng ký với Facebook' hiển thị</t>
  </si>
  <si>
    <t>1. Truy cập vào trang 
2. Quan sát UI các nút liên kết MXH</t>
  </si>
  <si>
    <t>Button filled blue (#1877F2), full-width, có Facebook icon. Text: 'Đăng ký với Facebook'</t>
  </si>
  <si>
    <t>TC_AUTH_UI_019</t>
  </si>
  <si>
    <t>US-02</t>
  </si>
  <si>
    <t>Signup (Google)</t>
  </si>
  <si>
    <t>Signup page: Button 'Đăng ký với Google' hiển thị</t>
  </si>
  <si>
    <t>Button outlined (border, no fill), full-width, có Google icon. Text: 'Đăng ký với Google'</t>
  </si>
  <si>
    <t>TC_PROF_UI_001</t>
  </si>
  <si>
    <t>MH Profile</t>
  </si>
  <si>
    <t>US-PROF-01</t>
  </si>
  <si>
    <t>Profile - Header</t>
  </si>
  <si>
    <t>Profile: Header hiển thị 'Quay lại Studio' + logo Tryonic + nút 'Lưu thay đổi'</t>
  </si>
  <si>
    <t>1. Truy cập /profile</t>
  </si>
  <si>
    <t>Header sticky: nút ArrowLeft 'Quay lại Studio', logo Palette+Tryonic, nút gradient teal 'Lưu thay đổi'</t>
  </si>
  <si>
    <t>TC_PROF_UI_002</t>
  </si>
  <si>
    <t>Profile - Avatar</t>
  </si>
  <si>
    <t>Profile: Avatar section hiển thị đúng</t>
  </si>
  <si>
    <t>1. Truy cập /profile
2. Quan sát avatar</t>
  </si>
  <si>
    <t>Avatar tròn 96px, gradient teal, hiển thị chữ cái đầu tên. Có camera icon góc dưới phải. Click để upload ảnh</t>
  </si>
  <si>
    <t>TC_PROF_UI_003</t>
  </si>
  <si>
    <t>Profile - Stats</t>
  </si>
  <si>
    <t>Profile: 3 Stats cards hiển thị đúng</t>
  </si>
  <si>
    <t>1. Truy cập /profile
2. Quan sát stats</t>
  </si>
  <si>
    <t>3 cards grid: Credits (teal icon), Đơn hàng (blue icon), Thiết kế (purple icon). Hiển thị số + label</t>
  </si>
  <si>
    <t>TC_PROF_UI_004</t>
  </si>
  <si>
    <t>Profile - Contact</t>
  </si>
  <si>
    <t>Profile: Form thông tin liên hệ hiển thị đúng</t>
  </si>
  <si>
    <t>1. Truy cập /profile
2. Quan sát section 'Thông tin liên hệ'</t>
  </si>
  <si>
    <t>2 fields: Email (icon Mail) + Số điện thoại (icon Phone). Input bo tròn, focus ring teal</t>
  </si>
  <si>
    <t>TC_PROF_UI_005</t>
  </si>
  <si>
    <t>Profile - Address</t>
  </si>
  <si>
    <t>Profile: Section 'Địa chỉ giao hàng (tối đa 5)' hiển thị</t>
  </si>
  <si>
    <t>1. Truy cập /profile
2. Scroll đến section địa chỉ</t>
  </si>
  <si>
    <t>Heading có icon MapPin + text 'Địa chỉ giao hàng' + '(tối đa 5)'. AddressPicker component render bên dưới</t>
  </si>
  <si>
    <t>TC_PROF_UI_006</t>
  </si>
  <si>
    <t>Profile - Security</t>
  </si>
  <si>
    <t>Profile: Section Bảo mật hiển thị</t>
  </si>
  <si>
    <t>1. Truy cập /profile
2. Scroll đến section bảo mật</t>
  </si>
  <si>
    <t>Card có icon Shield + text 'Bảo mật'. Nút 'Thay đổi' mật khẩu</t>
  </si>
  <si>
    <t>TC_PROF_UI_007</t>
  </si>
  <si>
    <t>Profile - Join Date</t>
  </si>
  <si>
    <t>Profile: Ngày tham gia hiển thị đúng format</t>
  </si>
  <si>
    <t>Text 'Tham gia từ [ngày]' format vi-VN (tháng/năm), icon CalendarDays</t>
  </si>
  <si>
    <t>TC_ADDR_UI_001</t>
  </si>
  <si>
    <t>MH Profile - Địa chỉ</t>
  </si>
  <si>
    <t>US-ADDR-01</t>
  </si>
  <si>
    <t>Address Picker - Card</t>
  </si>
  <si>
    <t>AddressPicker: Card hiển thị tên + SĐT + label + địa chỉ</t>
  </si>
  <si>
    <t>1. Mở Profile hoặc Checkout
2. Quan sát address cards</t>
  </si>
  <si>
    <t>Card có radio circle, tên bold, SĐT, label tag (Nhà/Công ty), địa chỉ full. Border teal khi selected</t>
  </si>
  <si>
    <t>TC_ADDR_UI_002</t>
  </si>
  <si>
    <t>Address Picker - Default</t>
  </si>
  <si>
    <t>AddressPicker: Badge 'Mặc định' hiển thị</t>
  </si>
  <si>
    <t>1. Quan sát address card có isDefault=true</t>
  </si>
  <si>
    <t>Badge teal '⭐ Mặc định' hiển thị. Không có nút Star vì đã là default</t>
  </si>
  <si>
    <t>TC_ADDR_UI_003</t>
  </si>
  <si>
    <t>Address Picker - Actions</t>
  </si>
  <si>
    <t>AddressPicker: Nút Star/Edit/Delete hiển thị</t>
  </si>
  <si>
    <t>1. Quan sát hàng actions</t>
  </si>
  <si>
    <t>Star (đặt mặc định), Pencil (sửa), Trash2 (xóa). Nút xóa ẩn khi chỉ còn 1 địa chỉ</t>
  </si>
  <si>
    <t>TC_ADDR_UI_004</t>
  </si>
  <si>
    <t>Address Picker - Add Button</t>
  </si>
  <si>
    <t>AddressPicker: Nút 'Thêm địa chỉ mới' hiển thị</t>
  </si>
  <si>
    <t>1. Quan sát bên dưới cards</t>
  </si>
  <si>
    <t>Nút border dashed 'Thêm địa chỉ mới (N/5)'. Ẩn khi đã 5 địa chỉ</t>
  </si>
  <si>
    <t>TC_ADDR_UI_005</t>
  </si>
  <si>
    <t>Address Picker - Form</t>
  </si>
  <si>
    <t>AddressPicker: Form thêm/sửa hiển thị inline</t>
  </si>
  <si>
    <t>1. Click 'Thêm địa chỉ mới'
2. Quan sát form</t>
  </si>
  <si>
    <t>Form inline: Label (Nhà/Công ty/Khác buttons), Họ tên*, SĐT*, Email, 3 dropdowns Tỉnh/Quận/Phường, Địa chỉ chi tiết*, nút Lưu + Hủy</t>
  </si>
  <si>
    <t>TC_AUTH_018</t>
  </si>
  <si>
    <t>Đăng nhập - Login</t>
  </si>
  <si>
    <t>Đăng nhập sai password</t>
  </si>
  <si>
    <t>1. Truy cập vào trang 
2. Nhập email: user@test.com
3. Nhập password: wrongpass
4. Click 'Đăng nhập'</t>
  </si>
  <si>
    <t>Hiển thị: 'Email hoặc mật khẩu không đúng'. Không tiết lộ email tồn tại hay không</t>
  </si>
  <si>
    <t>TC_AUTH_019</t>
  </si>
  <si>
    <t>Đăng nhập email chưa verify</t>
  </si>
  <si>
    <t>1. Truy cập vào trang 
2. Nhập email/pass đúng
3. Click 'Đăng nhập'</t>
  </si>
  <si>
    <t>Hiển thị: 'Vui lòng xác thực email trước khi đăng nhập'. Link resend verify</t>
  </si>
  <si>
    <t>TC_AUTH_020</t>
  </si>
  <si>
    <t>Đăng nhập email không tồn tại</t>
  </si>
  <si>
    <t>1. Truy cập vào trang 
2. Nhập email: ghost@test.com
3. Nhập password bất kỳ
4. Click 'Đăng nhập'</t>
  </si>
  <si>
    <t>Hiển thị: 'Email hoặc mật khẩu không đúng' (thông báo chung, không tiết lộ)</t>
  </si>
  <si>
    <t>TC_AUTH_021</t>
  </si>
  <si>
    <t>Đăng nhập bỏ trống cả Email và Mật khẩu</t>
  </si>
  <si>
    <t>1. Truy cập vào trang 
2. Không nhập gì
3. Click 'Đăng nhập'</t>
  </si>
  <si>
    <t>Hiển thị inline error: 'Vui lòng nhập email' + 'Vui lòng nhập mật khẩu'</t>
  </si>
  <si>
    <t>TC_AUTH_022</t>
  </si>
  <si>
    <t>Đăng nhập bỏ trống Password</t>
  </si>
  <si>
    <t>1. Truy cập vào trang 
2. Nhập email: user@test.com
3. Bỏ trống Mật khẩu
4. Click 'Đăng nhập'</t>
  </si>
  <si>
    <t>Hiển thị inline error dưới field Mật khẩu</t>
  </si>
  <si>
    <t>TC_AUTH_013</t>
  </si>
  <si>
    <t>Đăng nhập - OAuth</t>
  </si>
  <si>
    <t>Google OAuth - user deny permission</t>
  </si>
  <si>
    <t>1. Truy cập vào trang 
2. Click 'Tiếp tục với Google'
3. Cancel ở Google consent screen</t>
  </si>
  <si>
    <t>Redirect về trang Login. Hiển thị: 'Đăng nhập bị hủy'. Trang login hiện lại đầy đủ</t>
  </si>
  <si>
    <t>TC_AUTH_016</t>
  </si>
  <si>
    <t>Facebook OAuth deny permission</t>
  </si>
  <si>
    <t>1. Truy cập vào trang 
2. Click 'Tiếp tục với Facebook'
3. Cancel permission</t>
  </si>
  <si>
    <t>Redirect Login. Hiển thị thông báo hủy</t>
  </si>
  <si>
    <t>TC_AUTH_002</t>
  </si>
  <si>
    <t>Đăng ký pass yếu thiếu số</t>
  </si>
  <si>
    <t>1. Truy cập vào trang 
2. Nhập Password: Abcdefgh
3. Click 'Đăng ký'</t>
  </si>
  <si>
    <t>Hiển thị lỗi: 'Mật khẩu phải có ít nhất 8 ký tự, 1 chữ hoa, 1 số'. Không tạo account</t>
  </si>
  <si>
    <t>TC_AUTH_003</t>
  </si>
  <si>
    <t>Đăng ký pass thiếu chữ hoa</t>
  </si>
  <si>
    <t>1. Truy cập vào trang 
2. Nhập Password: test@1234
3. Click 'Đăng ký'</t>
  </si>
  <si>
    <t>Hiển thị lỗi validation password</t>
  </si>
  <si>
    <t>TC_AUTH_004</t>
  </si>
  <si>
    <t>Đăng ký email đã tồn tại</t>
  </si>
  <si>
    <t>1. Truy cập vào trang 
2. Nhập Email: existing@test.com
3. Nhập Password: Test@123
4. Click 'Đăng ký'</t>
  </si>
  <si>
    <t>Hiển thị lỗi: 'Email đã được sử dụng'</t>
  </si>
  <si>
    <t>TC_AUTH_005</t>
  </si>
  <si>
    <t>Đăng ký email format sai</t>
  </si>
  <si>
    <t>1. Truy cập vào trang 
2. Nhập Email: invalid-email
3. Click 'Đăng ký'</t>
  </si>
  <si>
    <t>Hiển thị lỗi: 'Email không hợp lệ'</t>
  </si>
  <si>
    <t>TC_AUTH_006</t>
  </si>
  <si>
    <t>Đăng ký bỏ trống tất cả field</t>
  </si>
  <si>
    <t>1. Truy cập vào trang 
2. Không nhập gì
3. Click 'Đăng ký'</t>
  </si>
  <si>
    <t>Hiển thị inline error cho tất cả required fields</t>
  </si>
  <si>
    <t>TC_AUTH_007</t>
  </si>
  <si>
    <t>Boundary: password length = 7 (min-1)</t>
  </si>
  <si>
    <t>1. Truy cập vào trang 
2. Nhập Password 7 ký tự: Test@12
3. Click 'Đăng ký'</t>
  </si>
  <si>
    <t>Hiển thị lỗi: password phải &gt;= 8 ký tự</t>
  </si>
  <si>
    <t>TC_AUTH_008</t>
  </si>
  <si>
    <t>Boundary: password length = 8 (min)</t>
  </si>
  <si>
    <t>1. Truy cập vào trang 
2. Nhập Password 8 ký tự: Test@123
3. Click 'Đăng ký'</t>
  </si>
  <si>
    <t>Đăng ký thành công</t>
  </si>
  <si>
    <t>TC_AUTH_047</t>
  </si>
  <si>
    <t>MH Tài khoản</t>
  </si>
  <si>
    <t>US-05</t>
  </si>
  <si>
    <t>Hồ sơ - Account</t>
  </si>
  <si>
    <t>Cập nhật avatar file &gt; 5MB</t>
  </si>
  <si>
    <t>1. Truy cập vào trang 
2. Upload avatar &gt; 5MB</t>
  </si>
  <si>
    <t>Hiển thị lỗi: 'File quá lớn'</t>
  </si>
  <si>
    <t>TC_AUTH_048</t>
  </si>
  <si>
    <t>1. Truy cập vào trang 
2. Nhập Phone: abc123
3. Click Save</t>
  </si>
  <si>
    <t>Hiển thị lỗi format số điện thoại</t>
  </si>
  <si>
    <t>TC_PROF_V_001</t>
  </si>
  <si>
    <t>US-PROF-03</t>
  </si>
  <si>
    <t>Profile - Empty Name</t>
  </si>
  <si>
    <t>Profile: Lưu với tên rỗng</t>
  </si>
  <si>
    <t>1. Xóa hết tên
2. Click Lưu</t>
  </si>
  <si>
    <t>Cho phép lưu (no validation on name) — data lưu với name rỗng</t>
  </si>
  <si>
    <t>TC_PROF_V_002</t>
  </si>
  <si>
    <t>Profile - Invalid Email</t>
  </si>
  <si>
    <t>Profile: Email format sai</t>
  </si>
  <si>
    <t>1. Nhập email không hợp lệ 'abc@@'
2. Click Lưu</t>
  </si>
  <si>
    <t>Browser validation type='email' ngăn. Hoặc data lưu as-is</t>
  </si>
  <si>
    <t>TC_PROF_V_003</t>
  </si>
  <si>
    <t>Profile - No Token</t>
  </si>
  <si>
    <t>Profile: Truy cập khi chưa đăng nhập</t>
  </si>
  <si>
    <t>1. Xóa customer_token
2. Truy cập /profile</t>
  </si>
  <si>
    <t>Hiển thị DEFAULT_PROFILE (tên rỗng, avatar '?', credits 12)</t>
  </si>
  <si>
    <t>TC_ADDR_V_001</t>
  </si>
  <si>
    <t>US-ADDR-03</t>
  </si>
  <si>
    <t>Address Picker - Required</t>
  </si>
  <si>
    <t>AddressPicker: Submit form thiếu field bắt buộc</t>
  </si>
  <si>
    <t>1. Click 'Thêm địa chỉ mới'
2. Để trống Họ tên
3. Click 'Lưu'</t>
  </si>
  <si>
    <t>Error 'Bắt buộc' hiển thị dưới field Họ tên. Không lưu</t>
  </si>
  <si>
    <t>TC_ADDR_V_002</t>
  </si>
  <si>
    <t>Address Picker - Max 5</t>
  </si>
  <si>
    <t>AddressPicker: Thêm quá 5 địa chỉ</t>
  </si>
  <si>
    <t>1. Thêm đến 5 địa chỉ
2. Quan sát nút thêm</t>
  </si>
  <si>
    <t>Nút 'Thêm địa chỉ mới' biến mất khi đủ 5 (MAX_ADDRESSES)</t>
  </si>
  <si>
    <t>TC_ADDR_V_003</t>
  </si>
  <si>
    <t>Address Picker - Delete Last</t>
  </si>
  <si>
    <t>AddressPicker: Xóa khi chỉ còn 1</t>
  </si>
  <si>
    <t>1. Xóa đến còn 1 địa chỉ
2. Quan sát nút Trash</t>
  </si>
  <si>
    <t>Nút Trash2 ẩn đi (addresses.length &gt; 1 check). Không cho xóa hết</t>
  </si>
  <si>
    <t>TC_AUTH_017</t>
  </si>
  <si>
    <t>Đăng nhập email/pass đúng</t>
  </si>
  <si>
    <t>1. Truy cập vào trang 
2. Mở /login
3. Nhập email: user@test.com vào field Email (placeholder: 'example@email.com')
4. Nhập password: Test@123 vào field Mật khẩu
5. Click button 'Đăng nhập' (purple)</t>
  </si>
  <si>
    <t>Redirect Dashboard. Header hiển thị tên user. Session tạo</t>
  </si>
  <si>
    <t>TC_AUTH_011</t>
  </si>
  <si>
    <t>Click 'Tiếp tục với Google' thành công</t>
  </si>
  <si>
    <t>1. Truy cập vào trang 
2. Mở /login
3. Click button 'Tiếp tục với Google'
4. Chọn tài khoản Google
5. Authorize permissions</t>
  </si>
  <si>
    <t>Redirect về Dashboard. Header hiển thị tên + avatar từ Google. Session tạo 24h</t>
  </si>
  <si>
    <t>TC_AUTH_012</t>
  </si>
  <si>
    <t>Google OAuth lần đầu - auto tạo account</t>
  </si>
  <si>
    <t>1. Truy cập vào trang 
2. Click 'Tiếp tục với Google'
3. Chọn tài khoản mới</t>
  </si>
  <si>
    <t>Tạo account mới. DB: auth_provider=google. Redirect Dashboard</t>
  </si>
  <si>
    <t>TC_AUTH_014</t>
  </si>
  <si>
    <t>Google OAuth - email trùng account email/pass</t>
  </si>
  <si>
    <t>1. Truy cập vào trang 
2. Click 'Tiếp tục với Google' với email đã có</t>
  </si>
  <si>
    <t>Liên kết account hoặc hiển thị lỗi trùng email (tùy BR)</t>
  </si>
  <si>
    <t>TC_AUTH_015</t>
  </si>
  <si>
    <t>Click 'Tiếp tục với Facebook' thành công</t>
  </si>
  <si>
    <t>1. Truy cập vào trang 
2. Click button 'Tiếp tục với Facebook'
3. Authorize</t>
  </si>
  <si>
    <t>Đăng nhập thành công. Redirect Dashboard. Hiển thị tên từ FB</t>
  </si>
  <si>
    <t>TC_AUTH_001</t>
  </si>
  <si>
    <t>Đăng ký email/password hợp lệ</t>
  </si>
  <si>
    <t>1. Truy cập vào trang 
2. Mở trang /signup
3. Nhập Name: Nguyễn Văn A
4. Nhập Email: newuser@test.com
5. Nhập Password: Test@123
6. Click 'Đăng ký'</t>
  </si>
  <si>
    <t>Hiển thị 'Đăng ký thành công'. Gửi email verify đến newuser@test.com. DB tạo record users.status=pending</t>
  </si>
  <si>
    <t>TC_AUTH_009</t>
  </si>
  <si>
    <t>Email chứa ký tự đặc biệt hợp lệ</t>
  </si>
  <si>
    <t>1. Truy cập vào trang 
2. Nhập Email: user+tag@test.com
3. Hoàn tất form
4. Click 'Đăng ký'</t>
  </si>
  <si>
    <t>Đăng ký thành công. Email có dấu + được chấp nhận</t>
  </si>
  <si>
    <t>TC_AUTH_050</t>
  </si>
  <si>
    <t>Đăng ký bằng Facebook thành công</t>
  </si>
  <si>
    <t>1. Truy cập vào trang 
2. Click 'Đăng ký với Facebook'
3. Xác thực Facebook App</t>
  </si>
  <si>
    <t>Hệ thống tạo tài khoản mới ngay lập tức. Redirect Dashboard. Hiển thị thông báo chào mừng</t>
  </si>
  <si>
    <t>TC_AUTH_049</t>
  </si>
  <si>
    <t>Đăng ký bằng Google thành công</t>
  </si>
  <si>
    <t>1. Truy cập vào trang 
2. Click 'Đăng ký với Google'
3. Xác thực màn hình Consent</t>
  </si>
  <si>
    <t>Hệ thống tạo tài khoản mới. DB: auth_provider=google. Redirect Dashboard</t>
  </si>
  <si>
    <t>TC_AUTH_046</t>
  </si>
  <si>
    <t>Cập nhật profile thành công</t>
  </si>
  <si>
    <t>1. Truy cập vào trang 
2. Vào Profile
3. Sửa Phone: 0901234567
4. Upload Avatar
5. Click Save</t>
  </si>
  <si>
    <t>Data lưu DB. Trang hiển thị data mới</t>
  </si>
  <si>
    <t>TC_AUTH_037</t>
  </si>
  <si>
    <t>MH Guest</t>
  </si>
  <si>
    <t>US-03b</t>
  </si>
  <si>
    <t>Guest - Browser</t>
  </si>
  <si>
    <t>Guest vào Editor thiết kế bình thường</t>
  </si>
  <si>
    <t>1. Truy cập vào trang 
2. Truy cập /editor không login
3. Add artwork/text
4. Thao tác drag/resize</t>
  </si>
  <si>
    <t>Cho phép thao tác bình thường. Data lưu localStorage</t>
  </si>
  <si>
    <t>TC_AUTH_038</t>
  </si>
  <si>
    <t>Guest data persist khi refresh</t>
  </si>
  <si>
    <t>1. Truy cập vào trang 
2. Tạo design
3. Refresh browser</t>
  </si>
  <si>
    <t>Design vẫn còn từ localStorage</t>
  </si>
  <si>
    <t>TC_AUTH_039</t>
  </si>
  <si>
    <t>Guest data mất khi clear storage</t>
  </si>
  <si>
    <t>1. Truy cập vào trang 
2. Clear localStorage
3. Quay lại Editor</t>
  </si>
  <si>
    <t>Design biến mất. Canvas trống</t>
  </si>
  <si>
    <t>TC_AUTH_040</t>
  </si>
  <si>
    <t>US-03c</t>
  </si>
  <si>
    <t>Guest - Migration</t>
  </si>
  <si>
    <t>Guest checkout → popup login, giữ data</t>
  </si>
  <si>
    <t>1. Truy cập vào trang 
2. Click 'Thanh toán'
3. Popup Login hiện
4. Đăng nhập</t>
  </si>
  <si>
    <t>Giữ nguyên design + cart. Chuyển sang checkout</t>
  </si>
  <si>
    <t>TC_AUTH_041</t>
  </si>
  <si>
    <t>Guest đăng ký mới tại popup checkout</t>
  </si>
  <si>
    <t>1. Truy cập vào trang 
2. Click 'Thanh toán'
3. Chọn 'Đăng ký' trên popup
4. Hoàn tất đăng ký</t>
  </si>
  <si>
    <t>Account mới tạo. Design + cart migrate sang account</t>
  </si>
  <si>
    <t>TC_PROF_F_001</t>
  </si>
  <si>
    <t>US-PROF-02</t>
  </si>
  <si>
    <t>Profile - Save</t>
  </si>
  <si>
    <t>Profile: Lưu thay đổi thành công</t>
  </si>
  <si>
    <t>1. Truy cập /profile
2. Sửa tên + phone
3. Click 'Lưu thay đổi'</t>
  </si>
  <si>
    <t>Nút chuyển thành 'Đã lưu!' (check icon, bg green). Data lưu vào localStorage. customer_token sync tên mới</t>
  </si>
  <si>
    <t>TC_PROF_F_002</t>
  </si>
  <si>
    <t>Profile - Avatar Upload</t>
  </si>
  <si>
    <t>Profile: Upload avatar mới</t>
  </si>
  <si>
    <t>1. Click avatar hoặc camera icon
2. Chọn file ảnh</t>
  </si>
  <si>
    <t>Ảnh hiển thị ngay (createObjectURL). Avatar thay đổi từ chữ cái sang ảnh</t>
  </si>
  <si>
    <t>TC_PROF_F_003</t>
  </si>
  <si>
    <t>Profile - Back to Studio</t>
  </si>
  <si>
    <t>Profile: Nút 'Quay lại Studio' hoạt động</t>
  </si>
  <si>
    <t>1. Click 'Quay lại Studio'</t>
  </si>
  <si>
    <t>Redirect về /studio</t>
  </si>
  <si>
    <t>TC_PROF_F_004</t>
  </si>
  <si>
    <t>Profile - Autofill Token</t>
  </si>
  <si>
    <t>Profile: Auto-fill từ customer_token</t>
  </si>
  <si>
    <t>1. Đăng nhập via Google
2. Vào /profile</t>
  </si>
  <si>
    <t>Tên + email auto-fill từ customer_token. Không ghi đè data đã lưu trước</t>
  </si>
  <si>
    <t>TC_PROF_F_005</t>
  </si>
  <si>
    <t>Profile - Stats Count</t>
  </si>
  <si>
    <t>Profile: Stats đếm đúng</t>
  </si>
  <si>
    <t>Credits = 12 (default), totalOrders = 0, totalDesigns = 0 hoặc giá trị thực từ localStorage</t>
  </si>
  <si>
    <t>TC_ADDR_F_001</t>
  </si>
  <si>
    <t>US-ADDR-02</t>
  </si>
  <si>
    <t>Address Picker - Add</t>
  </si>
  <si>
    <t>AddressPicker: Thêm địa chỉ mới</t>
  </si>
  <si>
    <t>1. Click 'Thêm địa chỉ mới'
2. Điền form
3. Click 'Lưu địa chỉ'</t>
  </si>
  <si>
    <t>Địa chỉ mới xuất hiện trong danh sách. Auto-select. Lưu vào localStorage</t>
  </si>
  <si>
    <t>TC_ADDR_F_002</t>
  </si>
  <si>
    <t>Address Picker - Edit</t>
  </si>
  <si>
    <t>AddressPicker: Sửa địa chỉ</t>
  </si>
  <si>
    <t>1. Click icon Pencil
2. Sửa thông tin
3. Click 'Cập nhật'</t>
  </si>
  <si>
    <t>Thông tin cập nhật trên card. Title form là 'Sửa địa chỉ'. localStorage sync</t>
  </si>
  <si>
    <t>TC_ADDR_F_003</t>
  </si>
  <si>
    <t>Address Picker - Delete</t>
  </si>
  <si>
    <t>AddressPicker: Xóa địa chỉ</t>
  </si>
  <si>
    <t>1. Click icon Trash2</t>
  </si>
  <si>
    <t>Địa chỉ biến mất. Nếu xóa default → first remaining becomes default. Auto-select first</t>
  </si>
  <si>
    <t>TC_ADDR_F_004</t>
  </si>
  <si>
    <t>Address Picker - Set Default</t>
  </si>
  <si>
    <t>AddressPicker: Đặt mặc định</t>
  </si>
  <si>
    <t>1. Click icon Star trên non-default card</t>
  </si>
  <si>
    <t>Badge '⭐ Mặc định' chuyển sang card mới. Old card mất badge. localStorage sync</t>
  </si>
  <si>
    <t>TC_ADDR_F_005</t>
  </si>
  <si>
    <t>Address Picker - Select</t>
  </si>
  <si>
    <t>AddressPicker: Chọn địa chỉ</t>
  </si>
  <si>
    <t>1. Click vào card khác</t>
  </si>
  <si>
    <t>Border teal chuyển sang card clicked. Radio dot filled. onSelect callback fired</t>
  </si>
  <si>
    <t>TC_ADDR_F_006</t>
  </si>
  <si>
    <t>Address Picker - Label</t>
  </si>
  <si>
    <t>AddressPicker: Chọn label tag</t>
  </si>
  <si>
    <t>1. Mở form thêm
2. Click 'Công ty'</t>
  </si>
  <si>
    <t>Button 'Công ty' highlight teal border. Label lưu vào địa chỉ</t>
  </si>
  <si>
    <t>TC_ADDR_F_007</t>
  </si>
  <si>
    <t>Address Picker - Seed Data</t>
  </si>
  <si>
    <t>AddressPicker: Seed data lần đầu</t>
  </si>
  <si>
    <t>1. Xóa tryonic_addresses từ localStorage
2. Refresh</t>
  </si>
  <si>
    <t>2 addresses mẫu xuất hiện: 'Nhà' (default) + 'Công ty'. localStorage ghi SEED_ADDRESSES</t>
  </si>
  <si>
    <t>TC_AUTH_023</t>
  </si>
  <si>
    <t>Đăng nhập - Security</t>
  </si>
  <si>
    <t>Login sai 5 lần liên tiếp - lock account</t>
  </si>
  <si>
    <t>1. Truy cập vào trang 
2. Nhập sai password 5 lần liên tiếp
3. Quan sát sau lần thứ 5</t>
  </si>
  <si>
    <t>Account bị lock 15 phút. Hiển thị: 'Tài khoản bị khóa tạm thời. Vui lòng thử lại sau 15 phút'</t>
  </si>
  <si>
    <t>TC_AUTH_024</t>
  </si>
  <si>
    <t>Login sai lần 4 - cảnh báo</t>
  </si>
  <si>
    <t>1. Truy cập vào trang 
2. Nhập sai password lần thứ 4
3. Xem thông báo</t>
  </si>
  <si>
    <t>Hiển thị cảnh báo: 'Còn 1 lần nữa tài khoản sẽ bị khóa'</t>
  </si>
  <si>
    <t>TC_AUTH_025</t>
  </si>
  <si>
    <t>Counter reset sau login thành công</t>
  </si>
  <si>
    <t>1. Truy cập vào trang 
2. Đăng nhập đúng
3. Logout
4. Sai 1 lần
5. Kiểm tra counter</t>
  </si>
  <si>
    <t>Counter về 0 sau login thành công</t>
  </si>
  <si>
    <t>TC_AUTH_026</t>
  </si>
  <si>
    <t>Lock per-account, không per-IP</t>
  </si>
  <si>
    <t>1. Truy cập vào trang 
2. Máy A sai 3 lần account X
3. Máy B sai 2 lần account X</t>
  </si>
  <si>
    <t>Account X bị lock dù login từ nhiều IP khác nhau</t>
  </si>
  <si>
    <t>TC_AUTH_027</t>
  </si>
  <si>
    <t>Bypass OAuth khi account bị lock</t>
  </si>
  <si>
    <t>1. Truy cập vào trang 
2. Account bị lock
3. Thử login bằng 'Tiếp tục với Google' cùng email</t>
  </si>
  <si>
    <t>Xử lý nhất quán: block hoặc cho phép OAuth. Không bypass mặc định</t>
  </si>
  <si>
    <t>TC_AUTH_028</t>
  </si>
  <si>
    <t>Lock message không tiết lộ thông tin</t>
  </si>
  <si>
    <t>1. Truy cập vào trang 
2. Nhập email không tồn tại sai pass 5+ lần</t>
  </si>
  <si>
    <t>Không hiển thị 'Email không tồn tại'. Thông báo chung. Counter không tăng cho email không tồn tại</t>
  </si>
  <si>
    <t>TC_AUTH_029</t>
  </si>
  <si>
    <t>Admin unlock account trước 15 phút</t>
  </si>
  <si>
    <t>1. Truy cập vào trang 
2. Admin vào portal
3. Unlock tài khoản
4. User thử login lại</t>
  </si>
  <si>
    <t>Mở khóa ngay. User login thành công</t>
  </si>
  <si>
    <t>TC_AUTH_030</t>
  </si>
  <si>
    <t>Concurrent login attempts (race condition)</t>
  </si>
  <si>
    <t>1. Truy cập vào trang 
2. Gửi đồng thời 10 request login sai
3. Kiểm tra lock</t>
  </si>
  <si>
    <t>Không bị race condition. Account lock sau đúng 5 lần thực sự</t>
  </si>
  <si>
    <t>TC_AUTH_031</t>
  </si>
  <si>
    <t>Lock persist sau clear cookies</t>
  </si>
  <si>
    <t>1. Truy cập vào trang 
2. Clear cookie/localStorage
3. Sai thêm vào account đó</t>
  </si>
  <si>
    <t>Vẫn bị lock. Lock server-side, không client-side</t>
  </si>
  <si>
    <t>TC_AUTH_032</t>
  </si>
  <si>
    <t>Lock time chính xác 15 phút</t>
  </si>
  <si>
    <t>1. Truy cập vào trang 
2. Thử login sau 14:50
3. Thử login sau 15:00</t>
  </si>
  <si>
    <t>14:50 vẫn lock. 15:00 có thể login</t>
  </si>
  <si>
    <t>TC_AUTH_033</t>
  </si>
  <si>
    <t>API rate limit POST /api/login</t>
  </si>
  <si>
    <t>1. Truy cập vào trang 
2. Gọi POST /api/login sai pass 5+ lần qua API
3. Kiểm tra response</t>
  </si>
  <si>
    <t>API trả 429 Too Many Requests hoặc lock. Không bypass được qua API</t>
  </si>
  <si>
    <t>TC_AUTH_036</t>
  </si>
  <si>
    <t>Remember me session 30 ngày</t>
  </si>
  <si>
    <t>1. Truy cập vào trang 
2. Tick 'Remember me'
3. Login thành công
4. Kiểm tra session expiry</t>
  </si>
  <si>
    <t>Session kéo dài 30 ngày thay vì 24h mặc định</t>
  </si>
  <si>
    <t>TC_AUTH_034</t>
  </si>
  <si>
    <t>Forgot password khi account bị lock</t>
  </si>
  <si>
    <t>1. Truy cập vào trang 
2. Click link 'Quên mật khẩu?' trên trang login
3. Nhập email bị lock
4. Nhấn Send</t>
  </si>
  <si>
    <t>Email reset vẫn được gửi. User có thể reset dù đang lock</t>
  </si>
  <si>
    <t>TC_AUTH_035</t>
  </si>
  <si>
    <t>Audit log ghi nhận failed attempts</t>
  </si>
  <si>
    <t>1. Truy cập vào trang 
2. Thực hiện 5 lần login sai
3. Kiểm tra audit log</t>
  </si>
  <si>
    <t>Log ghi đầy đủ: timestamp, IP, email, số lần thất bại, thời điểm lock</t>
  </si>
  <si>
    <t>TC_AUTH_010</t>
  </si>
  <si>
    <t>XSS injection trong field Name</t>
  </si>
  <si>
    <t>1. Truy cập vào trang 
2. Nhập Name: &lt;script&gt;alert(1)&lt;/script&gt;
3. Hoàn tất form
4. Click 'Đăng ký'</t>
  </si>
  <si>
    <t>Hệ thống sanitize input. Không execute script. Name lưu dạng escaped text</t>
  </si>
  <si>
    <t>TC_AUTH_042</t>
  </si>
  <si>
    <t>US-04</t>
  </si>
  <si>
    <t>Tài khoản - Security</t>
  </si>
  <si>
    <t>Reset password flow hoàn chỉnh</t>
  </si>
  <si>
    <t>1. Truy cập vào trang 
2. Click link 'Quên mật khẩu?' trên trang login
3. Nhập email: user@test.com
4. Nhận email reset
5. Click link trong email
6. Nhập new pass: NewTest@123
7. Confirm</t>
  </si>
  <si>
    <t>Đổi pass thành công. Login với pass mới OK</t>
  </si>
  <si>
    <t>TC_AUTH_043</t>
  </si>
  <si>
    <t>Reset link hết hạn sau 1h</t>
  </si>
  <si>
    <t>1. Truy cập vào trang 
2. Chờ &gt; 1 giờ
3. Click link reset</t>
  </si>
  <si>
    <t>Hiển thị: 'Link đã hết hạn. Vui lòng yêu cầu lại'</t>
  </si>
  <si>
    <t>TC_AUTH_044</t>
  </si>
  <si>
    <t>Reset link dùng 1 lần</t>
  </si>
  <si>
    <t>1. Truy cập vào trang 
2. Click lại link reset đã dùng</t>
  </si>
  <si>
    <t>Hiển thị: 'Link đã được sử dụng'</t>
  </si>
  <si>
    <t>TC_AUTH_045</t>
  </si>
  <si>
    <t>Reset password cho email không tồn tại</t>
  </si>
  <si>
    <t>1. Truy cập vào trang 
2. Nhập email: ghost@test.com
3. Click 'Gửi'</t>
  </si>
  <si>
    <t>Hiển thị thông báo chung (không tiết lộ email có tồn tại không)</t>
  </si>
  <si>
    <t>TC_PROF_S_001</t>
  </si>
  <si>
    <t>US-PROF-04</t>
  </si>
  <si>
    <t>Profile - XSS Name</t>
  </si>
  <si>
    <t>Profile: XSS injection qua name field</t>
  </si>
  <si>
    <t>🔒 Security</t>
  </si>
  <si>
    <t>1. Nhập '&lt;script&gt;alert(1)&lt;/script&gt;' vào tên
2. Lưu</t>
  </si>
  <si>
    <t>Không execute script. Text render as-is trong React</t>
  </si>
  <si>
    <t>TC_PROF_S_002</t>
  </si>
  <si>
    <t>Profile - LocalStorage Tamper</t>
  </si>
  <si>
    <t>Profile: Sửa localStorage trực tiếp</t>
  </si>
  <si>
    <t>1. Sửa user_profile trong DevTools
2. Refresh</t>
  </si>
  <si>
    <t>App handle JSON.parse error gracefully, fallback DEFAULT_PROFILE</t>
  </si>
  <si>
    <t>TC_MO_UI_004</t>
  </si>
  <si>
    <t>MH My Orders</t>
  </si>
  <si>
    <t>US-26</t>
  </si>
  <si>
    <t>My Orders - Card</t>
  </si>
  <si>
    <t>Order card hiển thị thông tin</t>
  </si>
  <si>
    <t>1. Mở My Orders (có ≥1 đơn)
2. Quan sát card đơn hàng</t>
  </si>
  <si>
    <t>Card hiển thị: mã đơn (#TRY-XXX), ngày đặt, status badge (màu theo trạng thái), preview items (max 2), tổng tiền. Có nút 'Chi tiết'</t>
  </si>
  <si>
    <t>TC_MO_UI_005</t>
  </si>
  <si>
    <t>My Orders - Empty</t>
  </si>
  <si>
    <t>Empty state khi chưa có đơn hàng</t>
  </si>
  <si>
    <t>1. Mở My Orders (user mới, chưa đặt đơn)
2. Quan sát nội dung</t>
  </si>
  <si>
    <t>Hiển thị: 'Chưa có đơn hàng nào' + nút CTA 'Thiết kế ngay' → navigate về Design Studio</t>
  </si>
  <si>
    <t>TC_MO_UI_001</t>
  </si>
  <si>
    <t>My Orders - Header</t>
  </si>
  <si>
    <t>MH My Orders: Header hiển thị đầy đủ</t>
  </si>
  <si>
    <t>1. Đăng nhập → Click User avatar → 'Đơn hàng của tôi'
2. Quan sát header</t>
  </si>
  <si>
    <t>Header hiển thị: nút '← Studio' quay về studio, tiêu đề 'Đơn hàng của tôi' + count badge (số đơn hàng)</t>
  </si>
  <si>
    <t>TC_MO_UI_006</t>
  </si>
  <si>
    <t>My Orders - Loading</t>
  </si>
  <si>
    <t>Loading state (skeleton)</t>
  </si>
  <si>
    <t>1. Truy cập My Orders (mạng chậm)
2. Quan sát loading</t>
  </si>
  <si>
    <t>Skeleton animation (pulse blocks) thay cho cards đơn hàng. Không blank screen</t>
  </si>
  <si>
    <t>TC_MO_UI_860</t>
  </si>
  <si>
    <t>MH My Orders: Browser Zoom (50%-200%)</t>
  </si>
  <si>
    <t>1. Truy cập My Orders
2. Zoom In 200% / Zoom Out 50%</t>
  </si>
  <si>
    <t>Layout giữ nguyên. Tabs wrap xuống hàng nếu cần. Cards vẫn hiển thị đầy đủ</t>
  </si>
  <si>
    <t>TC_MO_UI_864</t>
  </si>
  <si>
    <t>MH My Orders: Responsive Android Tablet</t>
  </si>
  <si>
    <t>1. Truy cập My Orders trên Tablet Android</t>
  </si>
  <si>
    <t>Tương tự iPad</t>
  </si>
  <si>
    <t>TC_MO_UI_862</t>
  </si>
  <si>
    <t>MH My Orders: Responsive Android Phone (Portrait)</t>
  </si>
  <si>
    <t>1. Truy cập My Orders trên Android Portrait</t>
  </si>
  <si>
    <t>Tương tự iPhone. Không thanh cuộn ngang thừa</t>
  </si>
  <si>
    <t>TC_MO_UI_865</t>
  </si>
  <si>
    <t>MH My Orders: Responsive Landscape</t>
  </si>
  <si>
    <t>1. Xoay ngang thiết bị</t>
  </si>
  <si>
    <t>UI tự sắp xếp phù hợp. Tabs vẫn hiển thị</t>
  </si>
  <si>
    <t>TC_MO_UI_863</t>
  </si>
  <si>
    <t>MH My Orders: Responsive iPad (Portrait)</t>
  </si>
  <si>
    <t>1. Truy cập My Orders trên iPad Portrait</t>
  </si>
  <si>
    <t>Cards có thể 2 cột hoặc 1 cột hợp lý. Tabs hiển thị đủ trên 1 hàng</t>
  </si>
  <si>
    <t>TC_MO_UI_861</t>
  </si>
  <si>
    <t>MH My Orders: Responsive iPhone (Portrait)</t>
  </si>
  <si>
    <t>1. Truy cập My Orders trên iPhone Portrait</t>
  </si>
  <si>
    <t>Tabs scroll ngang hoặc wrap. Cards full-width stacking. Nút Chi tiết dễ tap (≥44px)</t>
  </si>
  <si>
    <t>TC_MO_UI_002</t>
  </si>
  <si>
    <t>MH My Orders - Tìm</t>
  </si>
  <si>
    <t>My Orders - Search</t>
  </si>
  <si>
    <t>Ô tìm kiếm đơn hàng hiển thị</t>
  </si>
  <si>
    <t>1. Mở My Orders
2. Quan sát ô tìm kiếm</t>
  </si>
  <si>
    <t>Placeholder: 'Tìm theo mã đơn hoặc tên sản phẩm...'. Icon search bên trái. Bo tròn, full-width</t>
  </si>
  <si>
    <t>TC_MO_UI_003</t>
  </si>
  <si>
    <t>MH My Orders - Filter</t>
  </si>
  <si>
    <t>My Orders - Status Tabs</t>
  </si>
  <si>
    <t>7 status tabs hiển thị đầy đủ</t>
  </si>
  <si>
    <t>1. Mở My Orders
2. Quan sát thanh tab trạng thái</t>
  </si>
  <si>
    <t>7 tabs: 'Tất cả', 'Chờ xác nhận', 'Đã xác nhận', 'Đang in', 'Đang giao', 'Đã giao', 'Đã hủy'. Mỗi tab có count badge. Tab active có highlight teal</t>
  </si>
  <si>
    <t>TC_MO_V_001</t>
  </si>
  <si>
    <t>1. Mở My Orders
2. Nhập 'xyznotexist123'</t>
  </si>
  <si>
    <t>Hiển thị: 'Không tìm thấy đơn hàng'. Không crash</t>
  </si>
  <si>
    <t>TC_MO_V_002</t>
  </si>
  <si>
    <t>MH My Orders - Hủy</t>
  </si>
  <si>
    <t>US-28</t>
  </si>
  <si>
    <t>My Orders - Cancel</t>
  </si>
  <si>
    <t>Hủy đơn khi trạng thái 'Đang in'</t>
  </si>
  <si>
    <t>1. Mở My Orders
2. Tìm đơn trạng thái 'Đang in'</t>
  </si>
  <si>
    <t>Nút 'Hủy đơn' ẩn hoặc disabled. Không cho phép hủy đơn đang sản xuất</t>
  </si>
  <si>
    <t>TC_MO_V_003</t>
  </si>
  <si>
    <t>Hủy đơn khi trạng thái 'Đã giao'</t>
  </si>
  <si>
    <t>1. Mở My Orders
2. Tìm đơn trạng thái 'Đã giao'</t>
  </si>
  <si>
    <t>Nút 'Hủy đơn' ẩn. Không cho hủy đơn đã giao</t>
  </si>
  <si>
    <t>TC_MO_F_008</t>
  </si>
  <si>
    <t>My Orders - Navigate</t>
  </si>
  <si>
    <t>Click '← Studio' quay về Design Studio</t>
  </si>
  <si>
    <t>1. Mở My Orders
2. Click nút '← Studio' trên header</t>
  </si>
  <si>
    <t>Navigate về /studio. Design Studio hiển thị đầy đủ</t>
  </si>
  <si>
    <t>TC_ORD_025</t>
  </si>
  <si>
    <t>US-29</t>
  </si>
  <si>
    <t>Re-order</t>
  </si>
  <si>
    <t>Re-order design cũ</t>
  </si>
  <si>
    <t>1. Mở My Orders
2. Click 'Đặt lại'
3. Chọn Size/Qty</t>
  </si>
  <si>
    <t>Tạo đơn mới với cùng design. Vào Cart</t>
  </si>
  <si>
    <t>TC_ORD_026</t>
  </si>
  <si>
    <t>Re-order sản phẩm đã ngưng bán</t>
  </si>
  <si>
    <t>1. Mở My Orders
2. Click 'Đặt lại'</t>
  </si>
  <si>
    <t>Hiển thị: 'Sản phẩm này không còn bán'. Không cho re-order</t>
  </si>
  <si>
    <t>TC_MO_F_001</t>
  </si>
  <si>
    <t>Tìm kiếm theo mã đơn</t>
  </si>
  <si>
    <t>1. Mở My Orders
2. Nhập mã đơn 'TRY-001' vào ô tìm kiếm</t>
  </si>
  <si>
    <t>Danh sách filter hiển thị chỉ đơn hàng có mã TRY-001. Realtime filtering khi gõ</t>
  </si>
  <si>
    <t>TC_MO_F_002</t>
  </si>
  <si>
    <t>Tìm kiếm theo tên sản phẩm</t>
  </si>
  <si>
    <t>1. Mở My Orders
2. Nhập 'Premium Cotton' vào ô tìm kiếm</t>
  </si>
  <si>
    <t>Hiển thị đơn hàng chứa SP 'Premium Cotton'</t>
  </si>
  <si>
    <t>TC_MO_F_003</t>
  </si>
  <si>
    <t>My Orders - Filter</t>
  </si>
  <si>
    <t>Click tab 'Chờ xác nhận'</t>
  </si>
  <si>
    <t>1. Mở My Orders
2. Click tab 'Chờ xác nhận'</t>
  </si>
  <si>
    <t>Chỉ hiển thị đơn hàng có trạng thái 'Chờ xác nhận'. Count badge cập nhật. Tab active highlight</t>
  </si>
  <si>
    <t>TC_MO_F_004</t>
  </si>
  <si>
    <t>Click tab 'Đã giao'</t>
  </si>
  <si>
    <t>1. Mở My Orders
2. Click tab 'Đã giao'</t>
  </si>
  <si>
    <t>Chỉ hiển thị đơn hàng đã giao. Count badge đúng</t>
  </si>
  <si>
    <t>TC_MO_F_005</t>
  </si>
  <si>
    <t>Click tab 'Tất cả' hiển thị toàn bộ</t>
  </si>
  <si>
    <t>1. Đang ở tab filter khác
2. Click 'Tất cả'</t>
  </si>
  <si>
    <t>Hiển thị toàn bộ đơn hàng. Count badge = tổng đơn</t>
  </si>
  <si>
    <t>TC_MO_F_006</t>
  </si>
  <si>
    <t>MH Chi tiết đơn</t>
  </si>
  <si>
    <t>US-27</t>
  </si>
  <si>
    <t>My Orders - Detail</t>
  </si>
  <si>
    <t>Click 'Chi tiết' mở CustomerOrderDetailModal</t>
  </si>
  <si>
    <t>1. Mở My Orders
2. Click nút 'Chi tiết' trên 1 đơn hàng</t>
  </si>
  <si>
    <t>Mở modal chi tiết: mã đơn, trạng thái, timeline, danh sách items (ảnh, tên, màu, size, qty, giá), thông tin giao hàng. Có nút đóng (X)</t>
  </si>
  <si>
    <t>TC_MO_F_007</t>
  </si>
  <si>
    <t>Click 'Hủy đơn' khi trạng thái 'Chờ xác nhận'</t>
  </si>
  <si>
    <t>1. Mở My Orders
2. Tìm đơn trạng thái 'Chờ xác nhận'
3. Click 'Hủy đơn'</t>
  </si>
  <si>
    <t>Hiển thị confirm dialog: 'Bạn có chắc muốn hủy đơn hàng #TRY-XXX?'. Xác nhận → đơn chuyển sang 'Đã hủy'. Toast 'Đã hủy đơn hàng'</t>
  </si>
  <si>
    <t>TC_POL_UI_006</t>
  </si>
  <si>
    <t>MH Policy</t>
  </si>
  <si>
    <t>Policy - Layout</t>
  </si>
  <si>
    <t>'Chính sách khác' grid hiển thị trên mỗi trang</t>
  </si>
  <si>
    <t>1. Truy cập bất kỳ trang policy
2. Scroll xuống phần 'Chính sách khác'</t>
  </si>
  <si>
    <t>Hiển thị grid các trang policy liên quan (trừ trang hiện tại). Mỗi card có icon + title. Click navigate đúng</t>
  </si>
  <si>
    <t>TC_POL_UI_001</t>
  </si>
  <si>
    <t>Policy - Hướng dẫn</t>
  </si>
  <si>
    <t>Policy - Hướng dẫn mua hàng</t>
  </si>
  <si>
    <t>Trang hướng dẫn mua hàng hiển thị đầy đủ</t>
  </si>
  <si>
    <t>1. Truy cập /pages/huong-dan-mua-hang
2. Quan sát nội dung</t>
  </si>
  <si>
    <t>Hiển thị: header với icon + tiêu đề 'Hướng dẫn mua hàng', nút back, 7 steps: Truy cập → Chọn SP → Tạo Artwork → Chỉnh sửa → Preview → Đặt hàng → Thanh toán. Footer 'Chính sách khác' grid hiển thị</t>
  </si>
  <si>
    <t>TC_POL_UI_002</t>
  </si>
  <si>
    <t>Policy - Thanh toán</t>
  </si>
  <si>
    <t>Trang chính sách thanh toán hiển thị đầy đủ</t>
  </si>
  <si>
    <t>1. Truy cập /pages/chinh-sach-thanh-toan
2. Quan sát nội dung</t>
  </si>
  <si>
    <t>Hiển thị: phương thức MoMo only, thông tin SSL 256-bit, bảng phí giao hàng. Có link 'Chính sách khác'</t>
  </si>
  <si>
    <t>TC_POL_UI_003</t>
  </si>
  <si>
    <t>Policy - Vận chuyển</t>
  </si>
  <si>
    <t>Trang chính sách vận chuyển hiển thị đầy đủ</t>
  </si>
  <si>
    <t>1. Truy cập /pages/chinh-sach-van-chuyen
2. Quan sát nội dung</t>
  </si>
  <si>
    <t>Hiển thị: Standard 5-7 ngày (miễn phí ≥500K), Express 2-3 ngày (30K). Bảng chi tiết phí</t>
  </si>
  <si>
    <t>TC_POL_UI_004</t>
  </si>
  <si>
    <t>Policy - Đổi trả</t>
  </si>
  <si>
    <t>Trang chính sách đổi trả hiển thị đầy đủ</t>
  </si>
  <si>
    <t>1. Truy cập /pages/chinh-sach-doi-tra
2. Quan sát nội dung</t>
  </si>
  <si>
    <t>Hiển thị: thời hạn 7 ngày, điều kiện đổi trả, quy trình 3 bước. Có icon minh họa</t>
  </si>
  <si>
    <t>TC_POL_UI_005</t>
  </si>
  <si>
    <t>Policy - Bảo mật</t>
  </si>
  <si>
    <t>Trang bảo mật thông tin hiển thị đầy đủ</t>
  </si>
  <si>
    <t>1. Truy cập /pages/chinh-sach-bao-mat
2. Quan sát nội dung</t>
  </si>
  <si>
    <t>Hiển thị: tuân thủ NĐ 13/2023, SSL encryption, bcrypt hashing, chính sách xử lý dữ liệu. Format các section rõ ràng</t>
  </si>
  <si>
    <t>TC_POL_V_001</t>
  </si>
  <si>
    <t>Policy - Error</t>
  </si>
  <si>
    <t>Policy - Invalid</t>
  </si>
  <si>
    <t>Truy cập slug không tồn tại</t>
  </si>
  <si>
    <t>1. Truy cập /pages/slug-khong-ton-tai
2. Quan sát trang</t>
  </si>
  <si>
    <t>Hiển thị error: 'Trang không tồn tại' với nút 'Về trang chủ'. Không crash, không blank</t>
  </si>
  <si>
    <t>TC_POL_F_002</t>
  </si>
  <si>
    <t>Policy - Navigate</t>
  </si>
  <si>
    <t>Click card 'Chính sách khác' navigate đúng</t>
  </si>
  <si>
    <t>1. Mở /pages/huong-dan-mua-hang
2. Click card 'Chính sách vận chuyển' trong 'Chính sách khác'</t>
  </si>
  <si>
    <t>Navigate đến /pages/chinh-sach-van-chuyen. Trang hiển thị đúng</t>
  </si>
  <si>
    <t>TC_POL_F_001</t>
  </si>
  <si>
    <t>Click 'Về trang chủ'</t>
  </si>
  <si>
    <t>1. Mở bất kỳ trang policy
2. Click link 'Về trang chủ'</t>
  </si>
  <si>
    <t>Navigate đến /home. Trang chủ hiển thị</t>
  </si>
  <si>
    <t>TC_POL_F_003</t>
  </si>
  <si>
    <t>Click nút back trên header</t>
  </si>
  <si>
    <t>1. Mở trang policy
2. Click nút ← (back) trên header</t>
  </si>
  <si>
    <t>Quay về trang trước hoặc trang chủ</t>
  </si>
  <si>
    <t>STT</t>
  </si>
  <si>
    <t>Danh mục</t>
  </si>
  <si>
    <t>Loại Artwork</t>
  </si>
  <si>
    <t>Phong cách / Biến thể</t>
  </si>
  <si>
    <t>Mô tả</t>
  </si>
  <si>
    <t>Xuất xứ / Văn hóa</t>
  </si>
  <si>
    <t>Độ phức tạp màu</t>
  </si>
  <si>
    <t>Mức độ chi tiết</t>
  </si>
  <si>
    <t>Trong suốt (Alpha)</t>
  </si>
  <si>
    <t>Định dạng file</t>
  </si>
  <si>
    <t>Kỹ thuật in</t>
  </si>
  <si>
    <t>Chất lượng in dự kiến</t>
  </si>
  <si>
    <t>Thách thức AI Try-on</t>
  </si>
  <si>
    <t>Trọng tâm kiểm thử</t>
  </si>
  <si>
    <t>Prompt mẫu (AI Gen)</t>
  </si>
  <si>
    <t>Độ ưu tiên</t>
  </si>
  <si>
    <t>[Result]- Tạo Artwork</t>
  </si>
  <si>
    <t>Đánh giá kết quả Tạo Artwork</t>
  </si>
  <si>
    <t>Link data kết quả Tạo Artwork</t>
  </si>
  <si>
    <t>[Result] Try-on Model AI (Nam)</t>
  </si>
  <si>
    <t>Đánh giá Model AI (Nam)</t>
  </si>
  <si>
    <t>Link data kết quả Tryon (Nam)</t>
  </si>
  <si>
    <t>[Result] Try-on Model AI (Nữ)</t>
  </si>
  <si>
    <t>Đánh giá Model AI (Nữ)</t>
  </si>
  <si>
    <t>Link data kết quả Tryon (Nữ)</t>
  </si>
  <si>
    <t>Link Ảnh Sample</t>
  </si>
  <si>
    <t>🎨 NGHỆ THUẬT TRUYỀN THỐNG</t>
  </si>
  <si>
    <t>NGHỆ THUẬT TRUYỀN THỐNG</t>
  </si>
  <si>
    <t>Tranh sơn dầu</t>
  </si>
  <si>
    <t>Trường phái Ấn tượng</t>
  </si>
  <si>
    <t>Nét cọ mềm mại, tập trung ánh sáng, màu hòa quyện</t>
  </si>
  <si>
    <t>Châu Âu (Pháp)</t>
  </si>
  <si>
    <t>Cao</t>
  </si>
  <si>
    <t>Phức tạp</t>
  </si>
  <si>
    <t>Không</t>
  </si>
  <si>
    <t>JPG/PNG</t>
  </si>
  <si>
    <t>DTG, Thăng hoa</t>
  </si>
  <si>
    <t>Tốt</t>
  </si>
  <si>
    <t>Trung bình</t>
  </si>
  <si>
    <t>Độ chính xác tái tạo màu, kết cấu nét cọ trên vải</t>
  </si>
  <si>
    <t>Tranh sơn dầu ấn tượng hoa hướng dương lúc hoàng hôn</t>
  </si>
  <si>
    <t>P1</t>
  </si>
  <si>
    <t>📂 TC_001</t>
  </si>
  <si>
    <t>Siêu thực</t>
  </si>
  <si>
    <t>Tranh giống ảnh thật với chi tiết cực cao</t>
  </si>
  <si>
    <t>Toàn cầu</t>
  </si>
  <si>
    <t>Rất cao</t>
  </si>
  <si>
    <t>Cực cao</t>
  </si>
  <si>
    <t>DTG</t>
  </si>
  <si>
    <t>Xuất sắc</t>
  </si>
  <si>
    <t>Thấp</t>
  </si>
  <si>
    <t>Xử lý độ phân giải cực cao, độ sắc nét cạnh trên vải</t>
  </si>
  <si>
    <t>Tranh sơn dầu siêu thực giọt nước trên kính</t>
  </si>
  <si>
    <t>📂 TC_002</t>
  </si>
  <si>
    <t>Tranh màu nước</t>
  </si>
  <si>
    <t>Ướt trên ướt</t>
  </si>
  <si>
    <t>Lớp rửa trong suốt, cạnh mềm, loang tự nhiên</t>
  </si>
  <si>
    <t>Vừa phải</t>
  </si>
  <si>
    <t>Có</t>
  </si>
  <si>
    <t>PNG</t>
  </si>
  <si>
    <t>Bảo toàn độ trong suốt, gradient mềm trên vải</t>
  </si>
  <si>
    <t>Tranh màu nước hoa anh đào kỹ thuật ướt</t>
  </si>
  <si>
    <t>📂 TC_003</t>
  </si>
  <si>
    <t>Minh họa thực vật</t>
  </si>
  <si>
    <t>Vẽ cây chính xác với kỹ thuật màu nước</t>
  </si>
  <si>
    <t>Châu Âu (Anh)</t>
  </si>
  <si>
    <t>Bảo toàn đường nét mảnh + hòa trộn màu nước trong suốt</t>
  </si>
  <si>
    <t>Minh họa thực vật màu nước loài phong lan</t>
  </si>
  <si>
    <t>P2</t>
  </si>
  <si>
    <t>📂 TC_004</t>
  </si>
  <si>
    <t>Tranh acrylic</t>
  </si>
  <si>
    <t>Biểu hiện Trừu tượng</t>
  </si>
  <si>
    <t>Màu đậm, kết cấu dày, bố cục năng động</t>
  </si>
  <si>
    <t>Mỹ</t>
  </si>
  <si>
    <t>Tái tạo độ rực rỡ màu, kết cấu vẽ</t>
  </si>
  <si>
    <t>Tranh acrylic trừu tượng với vệt sơn đậm</t>
  </si>
  <si>
    <t>📂 TC_005</t>
  </si>
  <si>
    <t>Tranh than chì</t>
  </si>
  <si>
    <t>Chân dung</t>
  </si>
  <si>
    <t>Đơn sắc, tương phản cao, chuyển sắc tinh tế</t>
  </si>
  <si>
    <t>DTG, In lụa</t>
  </si>
  <si>
    <t>Độ chính xác thang xám, bảo toàn chi tiết mảnh</t>
  </si>
  <si>
    <t>Tranh than chì chân dung người già</t>
  </si>
  <si>
    <t>📂 TC_006</t>
  </si>
  <si>
    <t>Tranh mực</t>
  </si>
  <si>
    <t>Nét vẽ (Line Art)</t>
  </si>
  <si>
    <t>Đường nét sạch, ít bóng đổ, phong cách bút mực</t>
  </si>
  <si>
    <t>Đơn giản</t>
  </si>
  <si>
    <t>SVG/PNG</t>
  </si>
  <si>
    <t>In lụa, DTG</t>
  </si>
  <si>
    <t>Độ sắc nét đường, khả năng co giãn, xử lý trong suốt</t>
  </si>
  <si>
    <t>Tranh mực nét vẽ phong cảnh núi</t>
  </si>
  <si>
    <t>P0</t>
  </si>
  <si>
    <t>📂 TC_007</t>
  </si>
  <si>
    <t>Phác thảo bút chì</t>
  </si>
  <si>
    <t>Phác thảo thực tế</t>
  </si>
  <si>
    <t>Chì trên giấy, bóng đổ mềm, dải tông rộng</t>
  </si>
  <si>
    <t>Chuyển sắc tông tinh tế, kết cấu giấy</t>
  </si>
  <si>
    <t>Phác thảo chi tiết bút chì con mèo</t>
  </si>
  <si>
    <t>📂 TC_008</t>
  </si>
  <si>
    <t>Tranh phấn màu</t>
  </si>
  <si>
    <t>Phấn mềm</t>
  </si>
  <si>
    <t>Kết cấu mịn, màu rực mềm, hòa trộn</t>
  </si>
  <si>
    <t>Châu Âu</t>
  </si>
  <si>
    <t>Tái tạo gradient mềm, độ chính xác màu phấn</t>
  </si>
  <si>
    <t>Phong cảnh phấn mềm cánh đồng oải hương</t>
  </si>
  <si>
    <t>📂 TC_009</t>
  </si>
  <si>
    <t>Tranh khắc</t>
  </si>
  <si>
    <t>Khắc gỗ / Lino</t>
  </si>
  <si>
    <t>Hình dạng đồ họa đậm, tương phản cao, kết cấu chạm khắc</t>
  </si>
  <si>
    <t>Nhật/Châu Âu</t>
  </si>
  <si>
    <t>In lụa</t>
  </si>
  <si>
    <t>Vùng màu đặc sạch, cạnh sắc nét</t>
  </si>
  <si>
    <t>Tranh khắc gỗ con sói trong rừng</t>
  </si>
  <si>
    <t>📂 TC_010</t>
  </si>
  <si>
    <t>In đá (Lithography)</t>
  </si>
  <si>
    <t>Chuyển sắc tông, in màu nhiều lớp</t>
  </si>
  <si>
    <t>Tái tạo đa tông, độ chính xác chồng lớp</t>
  </si>
  <si>
    <t>Tranh in đá thực vật cổ điển</t>
  </si>
  <si>
    <t>📂 TC_011</t>
  </si>
  <si>
    <t>Nghệ thuật khảm</t>
  </si>
  <si>
    <t>Byzantine / Gạch men</t>
  </si>
  <si>
    <t>Mẫu pixel hóa từ mảnh nhỏ, hình học</t>
  </si>
  <si>
    <t>Trung Đông/Địa Trung Hải</t>
  </si>
  <si>
    <t>Độ rõ mẫu, phân đoạn màu trên vải</t>
  </si>
  <si>
    <t>Khảm Byzantine thiên thần vàng</t>
  </si>
  <si>
    <t>P3</t>
  </si>
  <si>
    <t>📂 TC_012</t>
  </si>
  <si>
    <t>💻 NGHỆ THUẬT SỐ</t>
  </si>
  <si>
    <t>NGHỆ THUẬT SỐ</t>
  </si>
  <si>
    <t>Đồ họa vector</t>
  </si>
  <si>
    <t>Thiết kế phẳng (Flat)</t>
  </si>
  <si>
    <t>Hình hình học sạch, màu phẳng đặc, không gradient</t>
  </si>
  <si>
    <t>SVG/AI/PNG</t>
  </si>
  <si>
    <t>In lụa, DTG, HTV</t>
  </si>
  <si>
    <t>Test co giãn, độ chính xác màu phẳng, trong suốt</t>
  </si>
  <si>
    <t>Minh họa vector phẳng cảnh thành phố</t>
  </si>
  <si>
    <t>📂 TC_013</t>
  </si>
  <si>
    <t>Isometric</t>
  </si>
  <si>
    <t>Góc nhìn 3D giả với phối cảnh đẳng cự</t>
  </si>
  <si>
    <t>Độ chính xác phối cảnh, đường thẳng trên đường cong cơ thể</t>
  </si>
  <si>
    <t>Minh họa isometric quán cà phê</t>
  </si>
  <si>
    <t>📂 TC_014</t>
  </si>
  <si>
    <t>Vẽ kỹ thuật số</t>
  </si>
  <si>
    <t>Bán thực tế</t>
  </si>
  <si>
    <t>Nét cọ số hòa trộn, độ thực vừa phải</t>
  </si>
  <si>
    <t>PNG/PSD</t>
  </si>
  <si>
    <t>Kết cấu cọ trên vải, độ sâu màu</t>
  </si>
  <si>
    <t>Tranh số bán thực tế nhân vật chiến binh</t>
  </si>
  <si>
    <t>📂 TC_015</t>
  </si>
  <si>
    <t>Concept Art</t>
  </si>
  <si>
    <t>Thiết kế nhân vật/môi trường cho game/phim</t>
  </si>
  <si>
    <t>Cắt bố cục phức tạp, trong suốt nền</t>
  </si>
  <si>
    <t>Concept art tàu vũ trụ sci-fi trong tinh vân</t>
  </si>
  <si>
    <t>📂 TC_016</t>
  </si>
  <si>
    <t>Pixel Art</t>
  </si>
  <si>
    <t>Retro 8-bit</t>
  </si>
  <si>
    <t>Pixel thô, bảng màu giới hạn, game cổ điển</t>
  </si>
  <si>
    <t>Nhật/Mỹ</t>
  </si>
  <si>
    <t>PNG/GIF</t>
  </si>
  <si>
    <t>Pixel sắc nét (không anti-alias), chất lượng phóng to</t>
  </si>
  <si>
    <t>Pixel art 8-bit nhân vật game retro</t>
  </si>
  <si>
    <t>📂 TC_017</t>
  </si>
  <si>
    <t>Pixel độ phân giải cao</t>
  </si>
  <si>
    <t>Pixel art hiện đại canvas lớn, nhiều màu hơn</t>
  </si>
  <si>
    <t>Duy trì lưới pixel ở kích thước in</t>
  </si>
  <si>
    <t>Pixel art phong cảnh hi-res với lớp parallax</t>
  </si>
  <si>
    <t>📂 TC_018</t>
  </si>
  <si>
    <t>Render 3D</t>
  </si>
  <si>
    <t>Render ảnh thực</t>
  </si>
  <si>
    <t>Cảnh 3D ray-traced với ánh sáng, bóng đổ</t>
  </si>
  <si>
    <t>Render bóng, phản quang trên vải</t>
  </si>
  <si>
    <t>Render 3D thực tế robot chrome</t>
  </si>
  <si>
    <t>📂 TC_019</t>
  </si>
  <si>
    <t>Low Poly</t>
  </si>
  <si>
    <t>3D đơn giản hóa với mặt đa giác nhìn thấy</t>
  </si>
  <si>
    <t>Sắc nét cạnh đa giác, gradient trong các mặt</t>
  </si>
  <si>
    <t>Chân dung đầu thú low poly 3D</t>
  </si>
  <si>
    <t>📂 TC_020</t>
  </si>
  <si>
    <t>Collage kỹ thuật số</t>
  </si>
  <si>
    <t>Chỉnh sửa ảnh ghép</t>
  </si>
  <si>
    <t>Ghép nhiều ảnh với hiệu ứng số</t>
  </si>
  <si>
    <t>Hòa trộn lớp trên vải, phát hiện artifact cạnh</t>
  </si>
  <si>
    <t>Collage siêu thực đảo bay lơ lửng</t>
  </si>
  <si>
    <t>📂 TC_021</t>
  </si>
  <si>
    <t>Khung Motion Graphics</t>
  </si>
  <si>
    <t>Poster động</t>
  </si>
  <si>
    <t>Khung đơn từ animation, bố cục năng động</t>
  </si>
  <si>
    <t>Độ rõ phần tử động trong bản in tĩnh</t>
  </si>
  <si>
    <t>Poster động với hạt particle chảy</t>
  </si>
  <si>
    <t>📂 TC_022</t>
  </si>
  <si>
    <t>Nghệ thuật sinh tạo</t>
  </si>
  <si>
    <t>Thuật toán / Fractal</t>
  </si>
  <si>
    <t>Mẫu tạo bằng toán học, chi tiết vô hạn</t>
  </si>
  <si>
    <t>PNG/JPG</t>
  </si>
  <si>
    <t>Thăng hoa</t>
  </si>
  <si>
    <t>Độ phân giải chi tiết fractal ở kích thước in</t>
  </si>
  <si>
    <t>Fractal Mandelbrot gradient cầu vồng</t>
  </si>
  <si>
    <t>📂 TC_023</t>
  </si>
  <si>
    <t>🤖 PHONG CÁCH AI TẠO SINH</t>
  </si>
  <si>
    <t>PHONG CÁCH AI TẠO SINH</t>
  </si>
  <si>
    <t>AI Thực tế</t>
  </si>
  <si>
    <t>Chân dung giống ảnh thật</t>
  </si>
  <si>
    <t>Chân dung người AI tạo, gần chất lượng ảnh thật</t>
  </si>
  <si>
    <t>AI (Midjourney/SD)</t>
  </si>
  <si>
    <t>Phát hiện artifact AI khi in, khuôn mặt in vs model try-on</t>
  </si>
  <si>
    <t>Chân dung thực tế phụ nữ với hoa trong tóc, ánh sáng dramatic</t>
  </si>
  <si>
    <t>📂 TC_024</t>
  </si>
  <si>
    <t>AI Fantasy</t>
  </si>
  <si>
    <t>Cảnh Fantasy hoành tráng</t>
  </si>
  <si>
    <t>Phong cảnh fantasy kịch tính, nhân vật nghệ thuật</t>
  </si>
  <si>
    <t>Độ rực rỡ màu, bảo toàn chi tiết ở scale áo</t>
  </si>
  <si>
    <t>Rồng fantasy bay trên núi sương mù</t>
  </si>
  <si>
    <t>📂 TC_025</t>
  </si>
  <si>
    <t>AI Anime</t>
  </si>
  <si>
    <t>Anime / Manga</t>
  </si>
  <si>
    <t>Phong cách hoạt hình Nhật với AI tạo</t>
  </si>
  <si>
    <t>AI (Midjourney --niji)</t>
  </si>
  <si>
    <t>Chất lượng nét anime, cel-shading trên vải</t>
  </si>
  <si>
    <t>Samurai cyber phong cách anime với katana neon</t>
  </si>
  <si>
    <t>📂 TC_026</t>
  </si>
  <si>
    <t>AI Trừu tượng</t>
  </si>
  <si>
    <t>Nghệ thuật chất lỏng</t>
  </si>
  <si>
    <t>Mẫu trừu tượng chảy do AI tạo</t>
  </si>
  <si>
    <t>Hòa trộn màu mượt, cạnh liền mạch cho allover</t>
  </si>
  <si>
    <t>Nghệ thuật chất lỏng trừu tượng vàng pha xanh ngọc</t>
  </si>
  <si>
    <t>📂 TC_027</t>
  </si>
  <si>
    <t>AI Chibi</t>
  </si>
  <si>
    <t>Kawaii / Chibi</t>
  </si>
  <si>
    <t>Nhân vật dễ thương, đầu to quá cỡ</t>
  </si>
  <si>
    <t>Bảo toàn độ dễ thương, cắt alpha sạch</t>
  </si>
  <si>
    <t>Mèo chibi kawaii phi hành gia với nền ngôi sao</t>
  </si>
  <si>
    <t>📂 TC_028</t>
  </si>
  <si>
    <t>AI Typography</t>
  </si>
  <si>
    <t>Text 3D / Chữ nghệ thuật</t>
  </si>
  <si>
    <t>Artwork typography do AI tạo</t>
  </si>
  <si>
    <t>Độ đọc được của text, hiệu ứng 3D trên vải phẳng</t>
  </si>
  <si>
    <t>Text chrome 3D 'DREAM BIG' với ngọn lửa</t>
  </si>
  <si>
    <t>📂 TC_029</t>
  </si>
  <si>
    <t>AI Siêu thực</t>
  </si>
  <si>
    <t>Dreamcore / Chủ nghĩa siêu thực</t>
  </si>
  <si>
    <t>Bố cục giấc mơ siêu thực</t>
  </si>
  <si>
    <t>Độ rõ phần tử siêu thực, nhận dạng đối tượng trên áo</t>
  </si>
  <si>
    <t>Cầu thang siêu thực dẫn lên mây với đồng hồ bay</t>
  </si>
  <si>
    <t>📂 TC_030</t>
  </si>
  <si>
    <t>AI Retro</t>
  </si>
  <si>
    <t>Retrowave / Synthwave</t>
  </si>
  <si>
    <t>Thẩm mỹ neon thập niên 80, retro-futuristic</t>
  </si>
  <si>
    <t>Tái tạo hiệu ứng neon trên vải, banding gradient</t>
  </si>
  <si>
    <t>Hoàng hôn synthwave với cây cọ và DeLorean</t>
  </si>
  <si>
    <t>📂 TC_031</t>
  </si>
  <si>
    <t>AI Sticker</t>
  </si>
  <si>
    <t>Sticker kiểu dán</t>
  </si>
  <si>
    <t>Sticker có viền trắng, nhìn bóng loáng</t>
  </si>
  <si>
    <t>DTG, HTV</t>
  </si>
  <si>
    <t>Sắc nét viền, ảo giác sticker trên vải</t>
  </si>
  <si>
    <t>Sticker dễ thương Corgi với viền trắng dày</t>
  </si>
  <si>
    <t>📂 TC_032</t>
  </si>
  <si>
    <t>AI Màu nước</t>
  </si>
  <si>
    <t>Mô phỏng màu nước AI</t>
  </si>
  <si>
    <t>Hiệu ứng màu nước do AI tạo</t>
  </si>
  <si>
    <t>Hiệu ứng loang màu nước, cạnh trong suốt</t>
  </si>
  <si>
    <t>Tranh màu nước AI quán café Paris trong mưa</t>
  </si>
  <si>
    <t>📂 TC_033</t>
  </si>
  <si>
    <t>AI Truyện tranh</t>
  </si>
  <si>
    <t>Comic / Tiểu thuyết đồ họa</t>
  </si>
  <si>
    <t>Phong cách comic AI với halftone, nét đậm</t>
  </si>
  <si>
    <t>Mẫu halftone, render bong bóng hội thoại</t>
  </si>
  <si>
    <t>Siêu anh hùng comic trong tư thế hành động</t>
  </si>
  <si>
    <t>📂 TC_034</t>
  </si>
  <si>
    <t>🌍 NGHỆ THUẬT VĂN HÓA / VÙNG MIỀN</t>
  </si>
  <si>
    <t>NGHỆ THUẬT VĂN HÓA / VÙNG MIỀN</t>
  </si>
  <si>
    <t>Ukiyo-e Nhật Bản</t>
  </si>
  <si>
    <t>Tranh khắc gỗ</t>
  </si>
  <si>
    <t>Phong cách Edo, màu phẳng, đường viền đậm, thiên nhiên/nhân vật</t>
  </si>
  <si>
    <t>Nhật Bản</t>
  </si>
  <si>
    <t>Bảng màu truyền thống, kết cấu vân gỗ</t>
  </si>
  <si>
    <t>Sóng lớn phong cách Ukiyo-e với twist hiện đại</t>
  </si>
  <si>
    <t>📂 TC_035</t>
  </si>
  <si>
    <t>Thủy mặc Trung Quốc</t>
  </si>
  <si>
    <t>Sumi-e / Shui-mo</t>
  </si>
  <si>
    <t>Tranh cọ tối giản, gradient mực, zen</t>
  </si>
  <si>
    <t>Trung Quốc</t>
  </si>
  <si>
    <t>Trong suốt mực, nét cọ tinh tế trên vải</t>
  </si>
  <si>
    <t>Tranh thủy mặc tre trong sương</t>
  </si>
  <si>
    <t>📂 TC_036</t>
  </si>
  <si>
    <t>Thư pháp Trung Quốc</t>
  </si>
  <si>
    <t>Chữ cổ điển</t>
  </si>
  <si>
    <t>Nét cọ nghệ thuật, ý nghĩa văn hóa</t>
  </si>
  <si>
    <t>Độ rõ ký tự, chính xác nét</t>
  </si>
  <si>
    <t>Thư pháp câu đối với triện đỏ</t>
  </si>
  <si>
    <t>📂 TC_037</t>
  </si>
  <si>
    <t>Nghệ thuật Ấn Độ</t>
  </si>
  <si>
    <t>Madhubani / Mithila</t>
  </si>
  <si>
    <t>Nghệ thuật dân gian mẫu phức tạp, màu tươi, họa tiết thiên nhiên</t>
  </si>
  <si>
    <t>Ấn Độ (Bihar)</t>
  </si>
  <si>
    <t>Mật độ mẫu, bão hòa màu, đối xứng</t>
  </si>
  <si>
    <t>Tranh Madhubani công với viền hoa</t>
  </si>
  <si>
    <t>📂 TC_038</t>
  </si>
  <si>
    <t>Mandala</t>
  </si>
  <si>
    <t>Mẫu hình học tròn đối xứng, họa tiết tâm linh</t>
  </si>
  <si>
    <t>Ấn Độ/Tây Tạng</t>
  </si>
  <si>
    <t>Chính xác đối xứng tròn, nét mảnh ở rìa</t>
  </si>
  <si>
    <t>Mandala tinh xảo chi tiết vàng và ngọc lam</t>
  </si>
  <si>
    <t>📂 TC_039</t>
  </si>
  <si>
    <t>Kalamkari</t>
  </si>
  <si>
    <t>Vẽ tay/in khuôn, chủ đề thần thoại, nhuộm tự nhiên</t>
  </si>
  <si>
    <t>Ấn Độ (AP/Telangana)</t>
  </si>
  <si>
    <t>Dòng chảy mẫu hữu cơ, tái tạo tông đất</t>
  </si>
  <si>
    <t>Cây đời Kalamkari với chim và hoa</t>
  </si>
  <si>
    <t>📂 TC_040</t>
  </si>
  <si>
    <t>Nghệ thuật Châu Phi</t>
  </si>
  <si>
    <t>Bộ lạc / Mẫu hình học</t>
  </si>
  <si>
    <t>Hình hình học đậm, họa tiết biểu tượng, palette đất/tươi</t>
  </si>
  <si>
    <t>Châu Phi (nhiều vùng)</t>
  </si>
  <si>
    <t>In lụa, DTG, Thăng hoa</t>
  </si>
  <si>
    <t>Căn chỉnh lặp mẫu, bảo toàn tương phản đậm</t>
  </si>
  <si>
    <t>Mẫu hình học bộ lạc Phi terracotta và đen</t>
  </si>
  <si>
    <t>📂 TC_041</t>
  </si>
  <si>
    <t>Kente / Ankara</t>
  </si>
  <si>
    <t>Mẫu dệt/in vải trên vải, ý nghĩa văn hóa</t>
  </si>
  <si>
    <t>Ghana / Tây Phi</t>
  </si>
  <si>
    <t>Độ rực rỡ bảng màu truyền thống, căn sọc</t>
  </si>
  <si>
    <t>Mẫu vải Kente allover vàng và xanh lá</t>
  </si>
  <si>
    <t>📂 TC_042</t>
  </si>
  <si>
    <t>Vải bùn (Bògòlanfini)</t>
  </si>
  <si>
    <t>Nhuộm bùn lên men, mẫu hình học đất</t>
  </si>
  <si>
    <t>Mali</t>
  </si>
  <si>
    <t>Chính xác tông đất, kết cấu hữu cơ</t>
  </si>
  <si>
    <t>Mẫu vải bùn nâu và kem</t>
  </si>
  <si>
    <t>📂 TC_043</t>
  </si>
  <si>
    <t>Nghệ thuật Trung Đông</t>
  </si>
  <si>
    <t>Hình học Hồi giáo / Arabesque</t>
  </si>
  <si>
    <t>Tessellation hình học phức tạp, mẫu vô hạn</t>
  </si>
  <si>
    <t>Trung Đông / Thế giới Hồi giáo</t>
  </si>
  <si>
    <t>Thăng hoa, DTG</t>
  </si>
  <si>
    <t>Chính xác hình học, ghép liền mạch, chi tiết mảnh</t>
  </si>
  <si>
    <t>Mẫu ngôi sao hình học Hồi giáo xanh dương và vàng</t>
  </si>
  <si>
    <t>📂 TC_044</t>
  </si>
  <si>
    <t>Nghệ thuật Mỹ Latinh</t>
  </si>
  <si>
    <t>Nghệ thuật dân gian Mexico / Alebrije</t>
  </si>
  <si>
    <t>Màu rực rỡ, sinh vật kỳ ảo, họa tiết Ngày Người Chết</t>
  </si>
  <si>
    <t>Mexico</t>
  </si>
  <si>
    <t>Độ rực rỡ cực độ, render sinh vật chi tiết</t>
  </si>
  <si>
    <t>Rồng alebrije đầy màu sắc với mẫu phức tạp</t>
  </si>
  <si>
    <t>📂 TC_045</t>
  </si>
  <si>
    <t>Nghệ thuật Thổ dân</t>
  </si>
  <si>
    <t>Chấm Dot Painting</t>
  </si>
  <si>
    <t>Mẫu từ chấm, tông đất, câu chuyện thời mơ</t>
  </si>
  <si>
    <t>Úc</t>
  </si>
  <si>
    <t>Rõ ràng mẫu chấm, kích thước chấm đều ở scale in</t>
  </si>
  <si>
    <t>Tranh chấm thổ dân kanguru dreamtime</t>
  </si>
  <si>
    <t>📂 TC_046</t>
  </si>
  <si>
    <t>Nghệ thuật Hàn Quốc</t>
  </si>
  <si>
    <t>Tranh dân gian Minhwa</t>
  </si>
  <si>
    <t>Tranh dân gian tươi sáng, hổ, mẫu đơn, hình ảnh biểu tượng</t>
  </si>
  <si>
    <t>Hàn Quốc</t>
  </si>
  <si>
    <t>Chính xác màu truyền thống, bảo toàn phong cách dân gian</t>
  </si>
  <si>
    <t>Tranh Minhwa hổ với chim và thông</t>
  </si>
  <si>
    <t>📂 TC_047</t>
  </si>
  <si>
    <t>Nghệ thuật Thái Lan</t>
  </si>
  <si>
    <t>Khon / Nghệ thuật đền</t>
  </si>
  <si>
    <t>Vàng lá, mẫu phức tạp, nhân vật thần thoại</t>
  </si>
  <si>
    <t>Thái Lan</t>
  </si>
  <si>
    <t>Render màu vàng kim, chi tiết trang trí cực kỳ phức tạp</t>
  </si>
  <si>
    <t>Nghệ thuật đền Thái Garuda với đồ trang sức vàng</t>
  </si>
  <si>
    <t>📂 TC_048</t>
  </si>
  <si>
    <t>Nghệ thuật Châu Âu</t>
  </si>
  <si>
    <t>Phong cách Phục Hưng</t>
  </si>
  <si>
    <t>Tỷ lệ cổ điển, giải phẫu thực tế, tôn giáo/thần thoại</t>
  </si>
  <si>
    <t>Châu Âu (Ý)</t>
  </si>
  <si>
    <t>Tái tạo mỹ thuật, tông da trên AI tryon</t>
  </si>
  <si>
    <t>Chân dung phong cách Phục Hưng theo lối Raphael</t>
  </si>
  <si>
    <t>📂 TC_049</t>
  </si>
  <si>
    <t>Nghệ thuật Celtic</t>
  </si>
  <si>
    <t>Nút thắt / Đan xen</t>
  </si>
  <si>
    <t>Mẫu đan lồng, không đầu cuối, xoắn ốc</t>
  </si>
  <si>
    <t>Ireland / Scotland</t>
  </si>
  <si>
    <t>Tính liên tục nút, nhất quán đường nét, co giãn</t>
  </si>
  <si>
    <t>Vòng tròn nút Celtic với nút trinity ở giữa</t>
  </si>
  <si>
    <t>📂 TC_050</t>
  </si>
  <si>
    <t>👕 THIẾT KẾ POD / ÁO THUN</t>
  </si>
  <si>
    <t>THIẾT KẾ POD / ÁO THUN</t>
  </si>
  <si>
    <t>Thiết kế Typography</t>
  </si>
  <si>
    <t>Slogan đậm</t>
  </si>
  <si>
    <t>Text lớn, động lực/hài hước, font ấn tượng</t>
  </si>
  <si>
    <t>In lụa, HTV, DTG</t>
  </si>
  <si>
    <t>Render font, dễ đọc qua các kích cỡ</t>
  </si>
  <si>
    <t>Typography đậm 'JUST CREATE' font distressed</t>
  </si>
  <si>
    <t>📂 TC_051</t>
  </si>
  <si>
    <t>Script Retro</t>
  </si>
  <si>
    <t>Chữ viết tay vintage, trang trí cầu kỳ</t>
  </si>
  <si>
    <t>Dòng chảy chữ, bảo toàn nét mảnh</t>
  </si>
  <si>
    <t>Chữ viết tay retro 'California Vibes' với hoàng hôn</t>
  </si>
  <si>
    <t>📂 TC_052</t>
  </si>
  <si>
    <t>Áo đồ họa</t>
  </si>
  <si>
    <t>Huy hiệu Vintage / Emblem</t>
  </si>
  <si>
    <t>Badge tròn/khiên, kết cấu cũ, retro</t>
  </si>
  <si>
    <t>Đối xứng badge, rõ kết cấu distress</t>
  </si>
  <si>
    <t>Badge camping vintage với núi và đại bàng</t>
  </si>
  <si>
    <t>📂 TC_053</t>
  </si>
  <si>
    <t>Streetwear / Đô thị</t>
  </si>
  <si>
    <t>Đồ họa đậm, ảnh hưởng graffiti, typography mạnh</t>
  </si>
  <si>
    <t>Toàn cầu (Đô thị)</t>
  </si>
  <si>
    <t>Chi tiết cạnh, kết cấu graffiti</t>
  </si>
  <si>
    <t>Thiết kế streetwear đầu lâu với splash graffiti neon</t>
  </si>
  <si>
    <t>📂 TC_054</t>
  </si>
  <si>
    <t>Nghệ thuật động vật</t>
  </si>
  <si>
    <t>Chân dung động vật thực tế</t>
  </si>
  <si>
    <t>Hình ảnh động vật giống thật, tập trung hoang dã</t>
  </si>
  <si>
    <t>Chi tiết lông/lông vũ, render mắt, trong suốt nền</t>
  </si>
  <si>
    <t>Chân dung sói thực tế đôi mắt xanh dữ dội</t>
  </si>
  <si>
    <t>📂 TC_055</t>
  </si>
  <si>
    <t>Động vật hình học / Đa giác</t>
  </si>
  <si>
    <t>Động vật xây từ hình hình học, phong cách hiện đại</t>
  </si>
  <si>
    <t>Chính xác hình dạng, gradient fill trong đa giác</t>
  </si>
  <si>
    <t>Đầu gấu low-poly hình học tone ngọc bích</t>
  </si>
  <si>
    <t>📂 TC_056</t>
  </si>
  <si>
    <t>Thiên nhiên / Phong cảnh</t>
  </si>
  <si>
    <t>In phong cảnh</t>
  </si>
  <si>
    <t>Cảnh núi, biển, rừng cho in áo</t>
  </si>
  <si>
    <t>Chính xác màu tự nhiên, vị trí đường chân trời</t>
  </si>
  <si>
    <t>Phong cảnh núi giờ vàng với hồ phản chiếu</t>
  </si>
  <si>
    <t>📂 TC_057</t>
  </si>
  <si>
    <t>Mẫu lặp / Allover</t>
  </si>
  <si>
    <t>Mẫu hoa</t>
  </si>
  <si>
    <t>Mẫu hoa/thực vật lặp, ghép liền mạch</t>
  </si>
  <si>
    <t>Chính xác lặp liền mạch, nhất quán màu qua tile</t>
  </si>
  <si>
    <t>Mẫu hoa nhiệt đới liền mạch với hoa dâm bụt</t>
  </si>
  <si>
    <t>📂 TC_058</t>
  </si>
  <si>
    <t>Mẫu hình học lặp</t>
  </si>
  <si>
    <t>Hình hình học lặp, tessellation</t>
  </si>
  <si>
    <t>Căn chỉnh tile, tỷ lệ mẫu qua các size</t>
  </si>
  <si>
    <t>Mẫu hình học art deco liền mạch vàng và navy</t>
  </si>
  <si>
    <t>📂 TC_059</t>
  </si>
  <si>
    <t>Rằn ri / Quân sự</t>
  </si>
  <si>
    <t>Mẫu ngụy trang nhiều bảng màu</t>
  </si>
  <si>
    <t>Hòa trộn hình hữu cơ, chính xác bảng màu</t>
  </si>
  <si>
    <t>Mẫu rằn ri đô thị tông xám</t>
  </si>
  <si>
    <t>📂 TC_060</t>
  </si>
  <si>
    <t>Tối giản</t>
  </si>
  <si>
    <t>Icon / Biểu tượng đơn</t>
  </si>
  <si>
    <t>Thiết kế rất đơn giản một phần tử, nét sạch</t>
  </si>
  <si>
    <t>In lụa, HTV</t>
  </si>
  <si>
    <t>Rõ icon ở vị trí nhỏ, cạnh sắc nét</t>
  </si>
  <si>
    <t>Icon trái tim nét đơn tối giản giữa ngực</t>
  </si>
  <si>
    <t>📂 TC_061</t>
  </si>
  <si>
    <t>Văn hóa đại chúng</t>
  </si>
  <si>
    <t>Parody / Mashup</t>
  </si>
  <si>
    <t>Tham chiếu văn hóa pop, mashup, hài hước</t>
  </si>
  <si>
    <t>Chi tiết nhân vật, chính xác màu cho parody</t>
  </si>
  <si>
    <t>Mashup văn hóa pop mèo vũ trụ với pizza</t>
  </si>
  <si>
    <t>📂 TC_062</t>
  </si>
  <si>
    <t>Thể thao / Đội nhóm</t>
  </si>
  <si>
    <t>Số áo Jersey</t>
  </si>
  <si>
    <t>Đánh số thể thao, đồ họa kiểu đội</t>
  </si>
  <si>
    <t>Căn số, nhất quán vị trí trước/sau</t>
  </si>
  <si>
    <t>Số áo thể thao 23 với tên đội</t>
  </si>
  <si>
    <t>📂 TC_063</t>
  </si>
  <si>
    <t>⚠️ CÁC TRƯỜNG HỢP THÁCH THỨC KỸ THUẬT</t>
  </si>
  <si>
    <t>CÁC TRƯỜNG HỢP THÁCH THỨC KỸ THUẬT</t>
  </si>
  <si>
    <t>Edge Case</t>
  </si>
  <si>
    <t>Toàn cảnh siêu rộng</t>
  </si>
  <si>
    <t>Artwork tỷ lệ rất rộng (3:1 hoặc hơn)</t>
  </si>
  <si>
    <t>Thách thức</t>
  </si>
  <si>
    <t>Cắt tỷ lệ, hành vi auto-fit</t>
  </si>
  <si>
    <t>Dãy núi toàn cảnh tỷ lệ 3:1</t>
  </si>
  <si>
    <t>📂 TC_064</t>
  </si>
  <si>
    <t>Dọc siêu cao</t>
  </si>
  <si>
    <t>Artwork tỷ lệ rất cao (1:3 hoặc hơn)</t>
  </si>
  <si>
    <t>Auto-fit dọc, căn chỉnh vùng áo</t>
  </si>
  <si>
    <t>Tranh cuộn dọc Nhật Bản cao</t>
  </si>
  <si>
    <t>📂 TC_065</t>
  </si>
  <si>
    <t>Chi tiết siêu nhỏ</t>
  </si>
  <si>
    <t>Đường cực mảnh và chi tiết rất nhỏ</t>
  </si>
  <si>
    <t>Hiển thị đường ở kích thước in, độ rộng đường tối thiểu</t>
  </si>
  <si>
    <t>Mandala cực chi tiết với đường 0.5pt</t>
  </si>
  <si>
    <t>📂 TC_066</t>
  </si>
  <si>
    <t>Màu neon / Ngoài gamut</t>
  </si>
  <si>
    <t>Màu ngoài gamut CMYK, neon điện</t>
  </si>
  <si>
    <t>Cắt gamut màu, fallback render neon</t>
  </si>
  <si>
    <t>Nghệ thuật trừu tượng xanh neon và xanh điện</t>
  </si>
  <si>
    <t>📂 TC_067</t>
  </si>
  <si>
    <t>Artwork đen trên áo tối</t>
  </si>
  <si>
    <t>Artwork chỉ đen đặt trên áo đen</t>
  </si>
  <si>
    <t>DTG (lớp trắng nền)</t>
  </si>
  <si>
    <t>Kiểm tra hiển thị, kích hoạt lớp trắng nền</t>
  </si>
  <si>
    <t>Nghệ thuật tattoo đen trên áo đen</t>
  </si>
  <si>
    <t>📂 TC_068</t>
  </si>
  <si>
    <t>Artwork toàn trắng</t>
  </si>
  <si>
    <t>Thiết kế chỉ trắng, cần ngữ cảnh áo màu</t>
  </si>
  <si>
    <t>DTG (mực trắng), HTV</t>
  </si>
  <si>
    <t>Xử lý mực trắng, phân biệt trong suốt vs trắng</t>
  </si>
  <si>
    <t>Logo silhouette trắng trên nền trong suốt</t>
  </si>
  <si>
    <t>📂 TC_069</t>
  </si>
  <si>
    <t>Độ phân giải rất thấp (72 DPI)</t>
  </si>
  <si>
    <t>Ảnh gốc độ phân giải web, không đủ cho in</t>
  </si>
  <si>
    <t>JPG</t>
  </si>
  <si>
    <t>Hệ thống cảnh báo DPI, kiểm tra chất lượng upscale</t>
  </si>
  <si>
    <t>Artwork JPG 500x500px độ phân giải thấp</t>
  </si>
  <si>
    <t>📂 TC_070</t>
  </si>
  <si>
    <t>Siêu cao phân giải (600+ DPI)</t>
  </si>
  <si>
    <t>File cực lớn, sử dụng bộ nhớ cao</t>
  </si>
  <si>
    <t>PNG/TIFF</t>
  </si>
  <si>
    <t>Hiệu năng upload, xử lý bộ nhớ, thời gian xử lý</t>
  </si>
  <si>
    <t>Artwork 8000x8000px ở 600 DPI</t>
  </si>
  <si>
    <t>📂 TC_071</t>
  </si>
  <si>
    <t>GIF động → Tĩnh</t>
  </si>
  <si>
    <t>User upload GIF động, platform phải xử lý</t>
  </si>
  <si>
    <t>GIF</t>
  </si>
  <si>
    <t>Trích xuất frame đầu, xử lý từ chối animation</t>
  </si>
  <si>
    <t>GIF lấp lánh động upload làm artwork</t>
  </si>
  <si>
    <t>📂 TC_072</t>
  </si>
  <si>
    <t>Upload PDF CMYK</t>
  </si>
  <si>
    <t>PDF sẵn sàng in trong không gian màu CMYK</t>
  </si>
  <si>
    <t>PDF</t>
  </si>
  <si>
    <t>Chuyển đổi CMYK sang RGB, kiểm tra lệch màu</t>
  </si>
  <si>
    <t>PDF CMYK logo thương hiệu</t>
  </si>
  <si>
    <t>📂 TC_073</t>
  </si>
  <si>
    <t>Text cực lớn</t>
  </si>
  <si>
    <t>Text lớn che toàn bộ mặt trước áo</t>
  </si>
  <si>
    <t>Giới hạn scale text, tràn ranh giới áo</t>
  </si>
  <si>
    <t>Một chữ 'A' phủ toàn bộ vùng in</t>
  </si>
  <si>
    <t>📂 TC_074</t>
  </si>
  <si>
    <t>Nhiều vật thể nhỏ</t>
  </si>
  <si>
    <t>100+ icon/vật thể nhỏ trong một artwork</t>
  </si>
  <si>
    <t>PNG/SVG</t>
  </si>
  <si>
    <t>Rõ ràng vật nhỏ, hiệu năng render</t>
  </si>
  <si>
    <t>Mẫu 100 emoji icon nhỏ khác nhau</t>
  </si>
  <si>
    <t>📂 TC_075</t>
  </si>
  <si>
    <t>Ảnh có khuôn mặt người</t>
  </si>
  <si>
    <t>Ảnh thật với khuôn mặt người rõ ràng</t>
  </si>
  <si>
    <t>AI Try-on nhầm mặt in với mặt model</t>
  </si>
  <si>
    <t>Ảnh chân dung chất lượng cao trên áo</t>
  </si>
  <si>
    <t>📂 TC_076</t>
  </si>
  <si>
    <t>Cạnh gradient trong suốt</t>
  </si>
  <si>
    <t>Cạnh artwork mờ dần thành trong suốt</t>
  </si>
  <si>
    <t>Render gradient trong suốt trên vải</t>
  </si>
  <si>
    <t>Hiệu ứng khói mờ từ đặc sang trong suốt</t>
  </si>
  <si>
    <t>📂 TC_077</t>
  </si>
  <si>
    <t>📊 THỐNG KÊ TỔNG HỢP</t>
  </si>
  <si>
    <t>Tổng loại Artwork</t>
  </si>
  <si>
    <t>Số danh mục</t>
  </si>
  <si>
    <t>P0 (Quan trọng)</t>
  </si>
  <si>
    <t>P1 (Cao)</t>
  </si>
  <si>
    <t>P2 (Trung bình)</t>
  </si>
  <si>
    <t>P3 (Thấp)</t>
  </si>
  <si>
    <t>AI Try-on thách thức cao</t>
  </si>
  <si>
    <t>Chất lượng in: Thách thức</t>
  </si>
  <si>
    <t>Danh mục Test</t>
  </si>
  <si>
    <t>Giới tính</t>
  </si>
  <si>
    <t>Chiều cao (cm)</t>
  </si>
  <si>
    <t>Cân nặng (kg)</t>
  </si>
  <si>
    <t>Size kỳ vọng</t>
  </si>
  <si>
    <t>Mô tả kịch bản</t>
  </si>
  <si>
    <t>Expected_Result</t>
  </si>
  <si>
    <t>Actual_Result</t>
  </si>
  <si>
    <t>Ghi chú</t>
  </si>
  <si>
    <t>📏 TRƯỜNG HỢP CHUẨN — NAM</t>
  </si>
  <si>
    <t>TRƯỜNG HỢP CHUẨN — NAM</t>
  </si>
  <si>
    <t>TC_SZ_001</t>
  </si>
  <si>
    <t>Nam</t>
  </si>
  <si>
    <t>XS</t>
  </si>
  <si>
    <t>Nam nhỏ nhất: thấp và nhẹ → XS</t>
  </si>
  <si>
    <t>Boundary min cho Nam</t>
  </si>
  <si>
    <t>TC_SZ_002</t>
  </si>
  <si>
    <t>S</t>
  </si>
  <si>
    <t>Nam nhỏ: chiều cao TB thấp, cân nặng nhẹ → S</t>
  </si>
  <si>
    <t>TC_SZ_003</t>
  </si>
  <si>
    <t>Nam nhỏ-vừa: chiều cao dưới TB, cân vừa → S</t>
  </si>
  <si>
    <t>TC_SZ_004</t>
  </si>
  <si>
    <t>M</t>
  </si>
  <si>
    <t>Nam trung bình Việt Nam: 165cm/60kg → M</t>
  </si>
  <si>
    <t>Case phổ biến nhất VN</t>
  </si>
  <si>
    <t>TC_SZ_005</t>
  </si>
  <si>
    <t>Nam TB: chiều cao TB, cân nặng TB → M</t>
  </si>
  <si>
    <t>TC_SZ_006</t>
  </si>
  <si>
    <t>Nam TB-cao: 170/68 → M hoặc L</t>
  </si>
  <si>
    <t>Ranh giới M/L</t>
  </si>
  <si>
    <t>TC_SZ_007</t>
  </si>
  <si>
    <t>L</t>
  </si>
  <si>
    <t>Nam cao-vừa: 172/72 → L</t>
  </si>
  <si>
    <t>TC_SZ_008</t>
  </si>
  <si>
    <t>Nam cao: 175/75 → L</t>
  </si>
  <si>
    <t>TC_SZ_009</t>
  </si>
  <si>
    <t>XL</t>
  </si>
  <si>
    <t>Nam cao-to: 178/80 → XL</t>
  </si>
  <si>
    <t>TC_SZ_010</t>
  </si>
  <si>
    <t>Nam rất cao: 180/85 → XL</t>
  </si>
  <si>
    <t>TC_SZ_011</t>
  </si>
  <si>
    <t>XXL</t>
  </si>
  <si>
    <t>Nam to lớn: 183/90 → XXL</t>
  </si>
  <si>
    <t>TC_SZ_012</t>
  </si>
  <si>
    <t>Nam rất to: 188/100 → XXL</t>
  </si>
  <si>
    <t>Boundary max bình thường</t>
  </si>
  <si>
    <t>📏 TRƯỜNG HỢP CHUẨN — NỮ</t>
  </si>
  <si>
    <t>TRƯỜNG HỢP CHUẨN — NỮ</t>
  </si>
  <si>
    <t>TC_SZ_013</t>
  </si>
  <si>
    <t>Nữ</t>
  </si>
  <si>
    <t>Nữ nhỏ nhất: 150/40 → XS</t>
  </si>
  <si>
    <t>Boundary min cho Nữ</t>
  </si>
  <si>
    <t>TC_SZ_014</t>
  </si>
  <si>
    <t>Nữ nhỏ: 153/45 → XS</t>
  </si>
  <si>
    <t>TC_SZ_015</t>
  </si>
  <si>
    <t>Nữ nhỏ-vừa: 155/48 → S</t>
  </si>
  <si>
    <t>TC_SZ_016</t>
  </si>
  <si>
    <t>Nữ TB Việt Nam: 158/50 → S</t>
  </si>
  <si>
    <t>Case phổ biến nhất VN Nữ</t>
  </si>
  <si>
    <t>TC_SZ_017</t>
  </si>
  <si>
    <t>Nữ TB: 160/53 → M</t>
  </si>
  <si>
    <t>TC_SZ_018</t>
  </si>
  <si>
    <t>Nữ TB-cao: 163/55 → M</t>
  </si>
  <si>
    <t>TC_SZ_019</t>
  </si>
  <si>
    <t>Nữ cao: 165/60 → L</t>
  </si>
  <si>
    <t>TC_SZ_020</t>
  </si>
  <si>
    <t>Nữ cao-vừa: 168/65 → L</t>
  </si>
  <si>
    <t>TC_SZ_021</t>
  </si>
  <si>
    <t>Nữ cao-to: 170/70 → XL</t>
  </si>
  <si>
    <t>TC_SZ_022</t>
  </si>
  <si>
    <t>Nữ rất cao: 173/75 → XL</t>
  </si>
  <si>
    <t>TC_SZ_023</t>
  </si>
  <si>
    <t>Nữ to lớn: 175/80 → XXL</t>
  </si>
  <si>
    <t>TC_SZ_024</t>
  </si>
  <si>
    <t>Nữ rất to: 178/85 → XXL</t>
  </si>
  <si>
    <t>⚖️ RANH GIỚI SIZE (Boundary)</t>
  </si>
  <si>
    <t>RANH GIỚI SIZE (Boundary)</t>
  </si>
  <si>
    <t>TC_SZ_025</t>
  </si>
  <si>
    <t>XS/S</t>
  </si>
  <si>
    <t>Ranh giới XS↔S Nam: đúng ngưỡng chuyển</t>
  </si>
  <si>
    <t>Kiểm tra logic chuyển size</t>
  </si>
  <si>
    <t>TC_SZ_026</t>
  </si>
  <si>
    <t>S/M</t>
  </si>
  <si>
    <t>Ranh giới S↔M Nam: chiều cao gần M, cân S</t>
  </si>
  <si>
    <t>TC_SZ_027</t>
  </si>
  <si>
    <t>M/L</t>
  </si>
  <si>
    <t>Ranh giới M↔L Nam: đúng ngưỡng</t>
  </si>
  <si>
    <t>Case nhạy cảm nhất</t>
  </si>
  <si>
    <t>TC_SZ_028</t>
  </si>
  <si>
    <t>L/XL</t>
  </si>
  <si>
    <t>Ranh giới L↔XL Nam: đúng ngưỡng</t>
  </si>
  <si>
    <t>TC_SZ_029</t>
  </si>
  <si>
    <t>XL/XXL</t>
  </si>
  <si>
    <t>Ranh giới XL↔XXL Nam: đúng ngưỡng</t>
  </si>
  <si>
    <t>TC_SZ_030</t>
  </si>
  <si>
    <t>Ranh giới XS↔S Nữ: đúng ngưỡng</t>
  </si>
  <si>
    <t>TC_SZ_031</t>
  </si>
  <si>
    <t>Ranh giới S↔M Nữ: đúng ngưỡng</t>
  </si>
  <si>
    <t>TC_SZ_032</t>
  </si>
  <si>
    <t>Ranh giới M↔L Nữ: đúng ngưỡng</t>
  </si>
  <si>
    <t>TC_SZ_033</t>
  </si>
  <si>
    <t>Ranh giới L↔XL Nữ: đúng ngưỡng</t>
  </si>
  <si>
    <t>TC_SZ_034</t>
  </si>
  <si>
    <t>Ranh giới XL↔XXL Nữ: đúng ngưỡng</t>
  </si>
  <si>
    <t>🏋️ CHIỀU CAO THẤP + CÂN NẶNG CAO (Overweight)</t>
  </si>
  <si>
    <t>CHIỀU CAO THẤP + CÂN NẶNG CAO (Overweight)</t>
  </si>
  <si>
    <t>TC_SZ_035</t>
  </si>
  <si>
    <t>Nam thấp nhưng nặng: 160/80</t>
  </si>
  <si>
    <t>Ưu tiên cân nặng hay chiều cao?</t>
  </si>
  <si>
    <t>TC_SZ_036</t>
  </si>
  <si>
    <t>Nam TB nhưng rất nặng: 165/90</t>
  </si>
  <si>
    <t>Stress test logic</t>
  </si>
  <si>
    <t>TC_SZ_037</t>
  </si>
  <si>
    <t>Nam rất thấp mà nặng: 155/75</t>
  </si>
  <si>
    <t>TC_SZ_038</t>
  </si>
  <si>
    <t>Nữ rất thấp mà nặng: 150/65</t>
  </si>
  <si>
    <t>TC_SZ_039</t>
  </si>
  <si>
    <t>Nữ thấp nhưng nặng: 155/70</t>
  </si>
  <si>
    <t>TC_SZ_040</t>
  </si>
  <si>
    <t>Nữ TB nhưng rất nặng: 160/80</t>
  </si>
  <si>
    <t>🦒 CHIỀU CAO LỚN + CÂN NẶNG THẤP (Underweight)</t>
  </si>
  <si>
    <t>CHIỀU CAO LỚN + CÂN NẶNG THẤP (Underweight)</t>
  </si>
  <si>
    <t>TC_SZ_041</t>
  </si>
  <si>
    <t>Nam rất cao nhưng rất gầy: 180/55</t>
  </si>
  <si>
    <t>Ưu tiên chiều cao hay cân nặng?</t>
  </si>
  <si>
    <t>TC_SZ_042</t>
  </si>
  <si>
    <t>Nam cực cao mà nhẹ: 185/60</t>
  </si>
  <si>
    <t>TC_SZ_043</t>
  </si>
  <si>
    <t>Nam cao mà gầy: 175/55</t>
  </si>
  <si>
    <t>TC_SZ_044</t>
  </si>
  <si>
    <t>Nữ cao nhưng rất gầy: 170/45</t>
  </si>
  <si>
    <t>TC_SZ_045</t>
  </si>
  <si>
    <t>Nữ rất cao mà nhẹ: 175/50</t>
  </si>
  <si>
    <t>TC_SZ_046</t>
  </si>
  <si>
    <t>Nữ cao mà gầy: 168/48</t>
  </si>
  <si>
    <t>🚫 GIÁ TRỊ INVALID / EDGE CASE</t>
  </si>
  <si>
    <t>GIÁ TRỊ INVALID / EDGE CASE</t>
  </si>
  <si>
    <t>TC_SZ_047</t>
  </si>
  <si>
    <t>Lỗi</t>
  </si>
  <si>
    <t>Chiều cao và cân nặng = 0</t>
  </si>
  <si>
    <t>Phải hiển thị lỗi validation</t>
  </si>
  <si>
    <t>TC_SZ_048</t>
  </si>
  <si>
    <t>Chiều cao âm</t>
  </si>
  <si>
    <t>Phải reject giá trị âm</t>
  </si>
  <si>
    <t>TC_SZ_049</t>
  </si>
  <si>
    <t>Cân nặng âm</t>
  </si>
  <si>
    <t>TC_SZ_050</t>
  </si>
  <si>
    <t>Chiều cao quá thấp (ngoài range): 100cm</t>
  </si>
  <si>
    <t>Ngoài giới hạn hợp lệ</t>
  </si>
  <si>
    <t>TC_SZ_051</t>
  </si>
  <si>
    <t>Chiều cao quá cao: 250cm</t>
  </si>
  <si>
    <t>TC_SZ_052</t>
  </si>
  <si>
    <t>Cân nặng quá lớn: 200kg</t>
  </si>
  <si>
    <t>TC_SZ_053</t>
  </si>
  <si>
    <t>Cân nặng quá nhỏ: 10kg</t>
  </si>
  <si>
    <t>TC_SZ_054</t>
  </si>
  <si>
    <t>Không chọn giới tính</t>
  </si>
  <si>
    <t>Giới tính bắt buộc</t>
  </si>
  <si>
    <t>TC_SZ_055</t>
  </si>
  <si>
    <t>Không nhập chiều cao và cân nặng</t>
  </si>
  <si>
    <t>Validate required fields</t>
  </si>
  <si>
    <t>TC_SZ_056</t>
  </si>
  <si>
    <t>abc</t>
  </si>
  <si>
    <t>Nhập chữ vào ô chiều cao</t>
  </si>
  <si>
    <t>Validate kiểu dữ liệu</t>
  </si>
  <si>
    <t>TC_SZ_057</t>
  </si>
  <si>
    <t>xyz</t>
  </si>
  <si>
    <t>Nhập chữ vào ô cân nặng</t>
  </si>
  <si>
    <t>TC_SZ_058</t>
  </si>
  <si>
    <t>Nhập số thập phân: 170.5cm / 65.3kg</t>
  </si>
  <si>
    <t>Hệ thống có chấp nhận decimal?</t>
  </si>
  <si>
    <t>🔄 CHUYỂN ĐỔI GIỚI TÍNH (Cùng chiều cao/cân nặng)</t>
  </si>
  <si>
    <t>CHUYỂN ĐỔI GIỚI TÍNH (Cùng chiều cao/cân nặng)</t>
  </si>
  <si>
    <t>TC_SZ_059</t>
  </si>
  <si>
    <t>Nam 165/60 → kiểm tra size</t>
  </si>
  <si>
    <t>So sánh kết quả Nam vs Nữ cùng input</t>
  </si>
  <si>
    <t>TC_SZ_060</t>
  </si>
  <si>
    <t>Nữ 165/60 → size phải KHÁC Nam (lớn hơn 1 bậc)</t>
  </si>
  <si>
    <t>Nữ cần form rộng hơn ở lower body</t>
  </si>
  <si>
    <t>TC_SZ_061</t>
  </si>
  <si>
    <t>Nam 170/65 → kiểm tra</t>
  </si>
  <si>
    <t>TC_SZ_062</t>
  </si>
  <si>
    <t>Nữ 170/65 → so sánh với Nam</t>
  </si>
  <si>
    <t>TC_SZ_063</t>
  </si>
  <si>
    <t>Nam 175/75 → kiểm tra</t>
  </si>
  <si>
    <t>TC_SZ_064</t>
  </si>
  <si>
    <t>Nữ 175/75 → so sánh với Nam</t>
  </si>
  <si>
    <t>📐 KIỂM TRA HIỂN THỊ UI GỢI Ý SIZE</t>
  </si>
  <si>
    <t>KIỂM TRA HIỂN THỊ UI GỢI Ý SIZE</t>
  </si>
  <si>
    <t>TC_SZ_065</t>
  </si>
  <si>
    <t>Popup gợi ý size: hiển thị đúng M + highlight trên bảng size</t>
  </si>
  <si>
    <t>Kiểm tra UI popup/overlay</t>
  </si>
  <si>
    <t>TC_SZ_066</t>
  </si>
  <si>
    <t>Popup gợi ý size Nữ: hiển thị kết quả + guide ảnh</t>
  </si>
  <si>
    <t>TC_SZ_067</t>
  </si>
  <si>
    <t>Sau khi chọn size gợi ý → auto-select trong dropdown sản phẩm</t>
  </si>
  <si>
    <t>Kiểm tra logic auto-fill</t>
  </si>
  <si>
    <t>TC_SZ_068</t>
  </si>
  <si>
    <t>Thay đổi giới tính sau khi đã gợi ý → recalculate</t>
  </si>
  <si>
    <t>Size phải cập nhật lại</t>
  </si>
  <si>
    <t>TC_SZ_069</t>
  </si>
  <si>
    <t>Thay đổi chiều cao/cân nặng → recalculate real-time</t>
  </si>
  <si>
    <t>Nếu có tính năng live update</t>
  </si>
  <si>
    <t>TC_SZ_070</t>
  </si>
  <si>
    <t>Responsive: popup gợi ý size trên mobile 375px</t>
  </si>
  <si>
    <t>Kiểm tra responsive</t>
  </si>
  <si>
    <t>📊 THỐNG KÊ</t>
  </si>
  <si>
    <t>Tổng test cases</t>
  </si>
  <si>
    <t>Test cases Nam</t>
  </si>
  <si>
    <t>Test cases Nữ</t>
  </si>
  <si>
    <t>Tên luồng E2E</t>
  </si>
  <si>
    <t>Loại luồng</t>
  </si>
  <si>
    <t>Các bước thực hiện (Full Steps)</t>
  </si>
  <si>
    <t>Dữ liệu đầu vào</t>
  </si>
  <si>
    <t>Kết quả mong đợi (cuối luồng)</t>
  </si>
  <si>
    <t>Thời gian thực thi</t>
  </si>
  <si>
    <t>Screenshot / Evidence</t>
  </si>
  <si>
    <t>Ghi chú / Bug</t>
  </si>
  <si>
    <t>✅ HAPPY PATH — LUỒNG CHÍNH</t>
  </si>
  <si>
    <t>TC_E2E_001</t>
  </si>
  <si>
    <t>Happy Path: Mua ngay — Guest (Không đăng nhập)</t>
  </si>
  <si>
    <t>Happy Path</t>
  </si>
  <si>
    <t>1. Truy cập Home
2. Nhập ý tưởng [Bạn muốn kể gì trên áo?]
3. Chọn phong cách: Tối giản
4. Click [Tạo ngay] → Chuyển sang Design Studio
5. View hộp thoại Try-AI Designer: 3 artwork hiển thị
6. Click chọn 1 artwork → Click [Dùng ảnh này]
7. View [Cài đặt hình ảnh] trên áo
8. Chỉnh Width/Height, Căn giữa
9. Click [Đặt hàng] → Click [Mua ngay]
10. MH Checkout: Nhập địa chỉ nhận hàng, chọn thanh toán COD
11. Click [Thanh toán + Số tiền]
12. MH Đặt hàng thành công: Hiển thị mã đơn
13. Click [Xem đơn hàng]</t>
  </si>
  <si>
    <t>Ý tưởng: 'Rồng Việt Nam phong cách watercolor'
Phong cách: Tối giản
Thông tin: Nguyễn Văn A, 0901234567, Q1 TPHCM
Thanh toán: COD</t>
  </si>
  <si>
    <t>Đặt hàng thành công, hiển thị mã đơn, xem được chi tiết đơn hàng</t>
  </si>
  <si>
    <t>TC_E2E_002</t>
  </si>
  <si>
    <t>Happy Path: Mua ngay — Đã đăng nhập</t>
  </si>
  <si>
    <t>1. Đăng nhập tài khoản trước
2. Truy cập Home → Nhập ý tưởng → Chọn phong cách
3. Click [Tạo ngay] → Design Studio
4. View 3 artwork → Chọn 1 → [Dùng ảnh này]
5. Cài đặt hình ảnh: Xóa nền ON, Căn giữa
6. [Đặt hàng] → [Mua ngay]
7. MH Checkout: Thông tin tự động auto-fill từ Profile
8. Kiểm tra auto-fill đúng → Chọn thanh toán
9. Click [Thanh toán] → Thành công
10. Xem đơn hàng</t>
  </si>
  <si>
    <t>Ý tưởng: 'Mèo galaxy neon'
Phong cách: Sáng tạo
User đã login Google</t>
  </si>
  <si>
    <t>Auto-fill đúng thông tin, đặt hàng thành công, xem đơn hàng OK</t>
  </si>
  <si>
    <t>TC_E2E_003</t>
  </si>
  <si>
    <t>Happy Path: Thêm giỏ hàng → Thanh toán</t>
  </si>
  <si>
    <t>1. Home → Nhập ý tưởng → [Tạo ngay]
2. Design Studio → View 3 artwork → [Dùng ảnh này]
3. Cài đặt hình ảnh → Chỉnh sửa OK
4. [Đặt hàng] → Click [Thêm giỏ hàng]
5. Kiểm tra badge giỏ hàng +1, thông báo thành công
6. Mở Giỏ hàng → Kiểm tra sản phẩm
7. Click [Thanh toán ngay] trong giỏ
8. MH Checkout → Nhập thông tin → Thanh toán
9. Đặt hàng thành công → Xem đơn</t>
  </si>
  <si>
    <t>Ý tưởng: 'Phong cảnh Hội An'
Size: L</t>
  </si>
  <si>
    <t>Sản phẩm vào giỏ, checkout từ giỏ thành công, mã đơn hiển thị</t>
  </si>
  <si>
    <t>📂 LUỒNG TỪ THƯ VIỆN MẪU &amp; UPLOAD ẢNH</t>
  </si>
  <si>
    <t>TC_E2E_027</t>
  </si>
  <si>
    <t>Chọn từ mẫu có sẵn → Dùng template → Checkout (Guest)</t>
  </si>
  <si>
    <t>Template</t>
  </si>
  <si>
    <t>1. Truy cập Home
2. Click [Chọn từ mẫu có sẵn] — 'Khám phá thư viện mẫu'
3. Chuyển sang MH Thư viện mẫu
4. Duyệt danh mục → Click chọn 1 template
5. Template apply lên canvas Design Studio
6. View [Cài đặt hình ảnh] → Chỉnh W/H, Căn giữa
7. [Đặt hàng] → [Mua ngay]
8. MH Checkout: Nhập thông tin → Thanh toán
9. Đặt hàng thành công → Xem đơn hàng</t>
  </si>
  <si>
    <t>Entry: Home → [Chọn từ mẫu có sẵn]
Template: chọn mẫu bất kỳ
Guest — COD</t>
  </si>
  <si>
    <t>Template apply đúng trên canvas, chỉnh sửa OK, đặt hàng thành công</t>
  </si>
  <si>
    <t>TC_E2E_028</t>
  </si>
  <si>
    <t>Chọn từ mẫu có sẵn → Sửa template → Checkout (Đăng nhập)</t>
  </si>
  <si>
    <t>1. Đăng nhập trước
2. Home → Click [Chọn từ mẫu có sẵn]
3. Thư viện mẫu → Chọn template
4. Template lên canvas → Click [Sửa với AI]
5. Ảnh template đính kèm tự động → Nhập prompt sửa
6. [Tạo Artwork mới] → View 3 artwork
7. [Dùng ảnh này] → Cài đặt hình ảnh
8. [Đặt hàng] → Checkout (auto-fill) → Thành công</t>
  </si>
  <si>
    <t>Entry: Home → [Chọn từ mẫu có sẵn]
Sửa: 'Đổi phong cách tối giản'
User đã login</t>
  </si>
  <si>
    <t>Template + AI sửa thành công, auto-fill, đặt hàng OK</t>
  </si>
  <si>
    <t>TC_E2E_029</t>
  </si>
  <si>
    <t>Chọn từ mẫu có sẵn → Thêm giỏ hàng → Checkout</t>
  </si>
  <si>
    <t>1. Home → [Chọn từ mẫu có sẵn] → Thư viện mẫu
2. Chọn template → Apply lên canvas
3. Cài đặt hình ảnh → Xóa nền, Căn giữa
4. [Đặt hàng] → [Thêm giỏ hàng]
5. Badge giỏ +1, toast thành công
6. Mở Giỏ hàng → [Thanh toán ngay]
7. Checkout → Thành công</t>
  </si>
  <si>
    <t>Entry: Home → [Chọn từ mẫu có sẵn]
Xóa nền ON
Thêm giỏ hàng</t>
  </si>
  <si>
    <t>Template vào giỏ, checkout từ giỏ thành công</t>
  </si>
  <si>
    <t>TC_E2E_030</t>
  </si>
  <si>
    <t>Tải lên ảnh của bạn → Upload file → Checkout (Guest)</t>
  </si>
  <si>
    <t>Upload</t>
  </si>
  <si>
    <t>1. Truy cập Home
2. Click [Tải lên ảnh của bạn] — 'Sử dụng file thiết kế riêng'
3. Hộp thoại Upload → Chọn file PNG/JPG từ máy
4. Ảnh upload thành công → Apply lên canvas Design Studio
5. View [Cài đặt hình ảnh]: Xóa nền, Chỉnh W/H, Căn giữa
6. [Đặt hàng] → [Mua ngay]
7. MH Checkout: Nhập thông tin → Thanh toán
8. Đặt hàng thành công → Xem đơn hàng</t>
  </si>
  <si>
    <t>Entry: Home → [Tải lên ảnh của bạn]
File: logo_company.png (1200x1200)
Guest — COD</t>
  </si>
  <si>
    <t>Ảnh upload hiển thị đúng trên canvas, chỉnh sửa OK, đặt hàng thành công</t>
  </si>
  <si>
    <t>TC_E2E_031</t>
  </si>
  <si>
    <t>Tải lên ảnh → Sửa với AI → Checkout (Đăng nhập)</t>
  </si>
  <si>
    <t>1. Đăng nhập trước
2. Home → [Tải lên ảnh của bạn] → Upload file PNG
3. Ảnh lên canvas → Click [Sửa với AI]
4. Ảnh gốc đính kèm tự động → Nhập: 'Thêm viền neon glow'
5. [Tạo Artwork mới] → View 3 artwork
6. [Dùng ảnh này] → Cài đặt → Căn giữa
7. [Đặt hàng] → Checkout (auto-fill) → Thành công</t>
  </si>
  <si>
    <t>Entry: Home → [Tải lên ảnh của bạn]
File: my_design.jpg
Sửa: 'Thêm viền neon glow'
User đã login</t>
  </si>
  <si>
    <t>Upload + AI enhance thành công, auto-fill, đặt hàng OK</t>
  </si>
  <si>
    <t>TC_E2E_032</t>
  </si>
  <si>
    <t>Tải lên ảnh → Thêm giỏ hàng → Upload ảnh khác → Thêm giỏ → Checkout</t>
  </si>
  <si>
    <t>1. Home → [Tải lên ảnh của bạn] → Upload file 1
2. Ảnh 1 lên canvas → Cài đặt → [Thêm giỏ hàng]
3. Quay lại Home → [Tải lên ảnh của bạn] → Upload file 2
4. Ảnh 2 lên canvas → Cài đặt → [Thêm giỏ hàng]
5. Giỏ hàng: 2 SP upload khác nhau
6. [Thanh toán ngay] → Checkout → Thành công</t>
  </si>
  <si>
    <t>File 1: team_logo.png
File 2: event_poster.jpg
Multi-item upload checkout</t>
  </si>
  <si>
    <t>2 SP upload khác nhau trong giỏ, tổng tiền đúng, checkout OK</t>
  </si>
  <si>
    <t>Multi-upload test</t>
  </si>
  <si>
    <t>🔄 LUỒNG SỬA ARTWORK — LOOP DESIGN</t>
  </si>
  <si>
    <t>TC_E2E_004</t>
  </si>
  <si>
    <t>Sửa tiếp 1 lần → Dùng ảnh → Checkout</t>
  </si>
  <si>
    <t>Sửa tiếp</t>
  </si>
  <si>
    <t>1. Home → Nhập ý tưởng → [Tạo ngay]
2. Design Studio → View 3 artwork
3. Nhập [Bạn muốn sửa gì?]: 'Đổi tông màu ấm hơn'
4. Click [Sửa tiếp] → AI tạo lại 3 artwork mới
5. Duyệt ảnh bằng [&gt;] [&lt;] → Chọn ảnh ưng ý
6. Click [Dùng ảnh này]
7. Cài đặt hình ảnh → Căn giữa
8. [Đặt hàng] → [Mua ngay] → Checkout → Thành công</t>
  </si>
  <si>
    <t>Ý tưởng gốc: 'Hoa sen Việt Nam'
Sửa: 'Đổi tông màu ấm hơn'</t>
  </si>
  <si>
    <t>Artwork mới phản ánh chỉnh sửa, đặt hàng thành công</t>
  </si>
  <si>
    <t>TC_E2E_005</t>
  </si>
  <si>
    <t>Sửa tiếp nhiều lần (3 lần loop) → Dùng ảnh</t>
  </si>
  <si>
    <t>1. Home → Nhập ý tưởng → [Tạo ngay]
2. View 3 artwork → [Sửa tiếp] lần 1: 'Thêm hiệu ứng glow'
3. View 3 artwork mới → [Sửa tiếp] lần 2: 'Làm đậm nét hơn'
4. View 3 artwork mới → [Sửa tiếp] lần 3: 'Giảm màu nền'
5. View 3 artwork cuối → [Dùng ảnh này]
6. Cài đặt hình ảnh → Đặt hàng → Checkout → Thành công</t>
  </si>
  <si>
    <t>3 lần sửa liên tiếp với prompt khác nhau</t>
  </si>
  <si>
    <t>Mỗi lần sửa tạo artwork mới đúng prompt, cuối cùng đặt hàng OK</t>
  </si>
  <si>
    <t>Loop stress test</t>
  </si>
  <si>
    <t>TC_E2E_006</t>
  </si>
  <si>
    <t>Sửa với AI → Tạo artwork mới từ ảnh gốc → Checkout</t>
  </si>
  <si>
    <t>Sửa với AI</t>
  </si>
  <si>
    <t>1. Home → Nhập ý tưởng → [Tạo ngay]
2. View 3 artwork → [Dùng ảnh này]
3. Cài đặt hình ảnh → Xem preview trên áo
4. Click [Sửa với AI]
5. MH Tạo artwork mới: Ảnh gốc đã đính kèm tự động
6. Nhập: 'Sửa màu sáng lên, thêm tia nắng'
7. Click [Tạo Artwork mới] → View 3 artwork mới
8. [Dùng ảnh này] → Cài đặt → Đặt hàng → Checkout → Thành công</t>
  </si>
  <si>
    <t>Ảnh gốc + Sửa: 'Sửa màu sáng lên, thêm tia nắng'</t>
  </si>
  <si>
    <t>AI tạo artwork dựa trên gốc + prompt sửa, đặt hàng thành công</t>
  </si>
  <si>
    <t>TC_E2E_007</t>
  </si>
  <si>
    <t>Chọn mẫu này → Chỉnh canvas → Đặt hàng</t>
  </si>
  <si>
    <t>Chọn mẫu</t>
  </si>
  <si>
    <t>1. Home → Nhập ý tưởng → [Tạo ngay]
2. View 3 artwork → [Dùng ảnh này]
3. View artwork trên áo canvas
4. Click [Chọn mẫu này] → MH Cài đặt hình ảnh
5. Bật Xóa nền, chỉnh W/H, Thứ tự lớp, Căn giữa
6. Kéo/drag artwork trên canvas trực tiếp
7. [Đặt hàng] → [Mua ngay] → Checkout → Thành công</t>
  </si>
  <si>
    <t>Chỉnh: Xóa nền ON, W=250, H=300, Căn giữa</t>
  </si>
  <si>
    <t>Artwork hiển thị đúng tùy chỉnh trên áo, đặt hàng OK</t>
  </si>
  <si>
    <t>TC_E2E_008</t>
  </si>
  <si>
    <t>Sửa tiếp → Sửa với AI → Chọn mẫu → Checkout (Full loop)</t>
  </si>
  <si>
    <t>Kết hợp</t>
  </si>
  <si>
    <t>1. Home → [Tạo ngay] → View 3 artwork
2. [Sửa tiếp] → View 3 artwork mới → [Dùng ảnh này]
3. Canvas → [Sửa với AI] → Nhập prompt → [Tạo Artwork mới]
4. View 3 artwork mới → [Dùng ảnh này]
5. Canvas → [Chọn mẫu này] → Cài đặt hình ảnh
6. Chỉnh sửa → [Đặt hàng] → Checkout → Thành công</t>
  </si>
  <si>
    <t>Kết hợp cả 3 nút: Sửa tiếp + Sửa với AI + Chọn mẫu</t>
  </si>
  <si>
    <t>Mọi bước chuyển đổi mượt, artwork cuối cùng đúng, đặt hàng OK</t>
  </si>
  <si>
    <t>Full combination test</t>
  </si>
  <si>
    <t>💳 LUỒNG CHECKOUT — ĐĂNG NHẬP</t>
  </si>
  <si>
    <t>TC_E2E_009</t>
  </si>
  <si>
    <t>Guest → Đăng nhập Facebook tại Checkout → Thanh toán</t>
  </si>
  <si>
    <t>Checkout Login</t>
  </si>
  <si>
    <t>1. Home → Tạo artwork → Dùng ảnh → Cài đặt → [Đặt hàng] → [Mua ngay]
2. MH Checkout (chưa đăng nhập)
3. Click [Đăng nhập qua Facebook]
4. Popup Facebook OAuth → Đăng nhập thành công
5. Thông tin tự động auto-fill
6. Chọn thanh toán → [Thanh toán] → Thành công</t>
  </si>
  <si>
    <t>Tài khoản Facebook hợp lệ</t>
  </si>
  <si>
    <t>Login Facebook OK, auto-fill thông tin, đặt hàng thành công</t>
  </si>
  <si>
    <t>TC_E2E_010</t>
  </si>
  <si>
    <t>Guest → Đăng nhập Google tại Checkout → Thanh toán</t>
  </si>
  <si>
    <t>1. Home → Tạo artwork → Dùng ảnh → Cài đặt → [Đặt hàng] → [Mua ngay]
2. MH Checkout → Click [Đăng nhập qua Google]
3. Popup Google OAuth → Đăng nhập OK
4. Auto-fill → Thanh toán → Thành công</t>
  </si>
  <si>
    <t>Tài khoản Google hợp lệ</t>
  </si>
  <si>
    <t>Login Google OK, auto-fill đúng, đặt hàng thành công</t>
  </si>
  <si>
    <t>TC_E2E_011</t>
  </si>
  <si>
    <t>Guest → Đăng nhập Email tại Checkout → Thanh toán</t>
  </si>
  <si>
    <t>1. Home → Tạo artwork → Dùng ảnh → Cài đặt → [Đặt hàng] → [Mua ngay]
2. MH Checkout → Click [Đăng nhập qua Email]
3. Nhập Email + Password → Đăng nhập
4. Auto-fill → Thanh toán → Thành công</t>
  </si>
  <si>
    <t>Email: test@example.com, Pass: ****</t>
  </si>
  <si>
    <t>Login Email OK, auto-fill đúng, đặt hàng thành công</t>
  </si>
  <si>
    <t>TC_E2E_012</t>
  </si>
  <si>
    <t>Thêm giỏ hàng nhiều sản phẩm → Checkout cùng lúc</t>
  </si>
  <si>
    <t>Multi-item</t>
  </si>
  <si>
    <t>1. Home → Tạo artwork 1 → Dùng ảnh → [Thêm giỏ hàng]
2. Home → Tạo artwork 2 (ý tưởng khác) → Dùng ảnh → [Thêm giỏ hàng]
3. Mở Giỏ hàng → Kiểm tra 2 sản phẩm
4. [Thanh toán ngay] → Checkout → Kiểm tra tổng tiền 2 SP
5. Thanh toán → Thành công</t>
  </si>
  <si>
    <t>SP1: 'Rồng watercolor' Size M
SP2: 'Mèo galaxy' Size L</t>
  </si>
  <si>
    <t>Giỏ hàng đúng 2 SP, tổng tiền chính xác, đặt hàng OK</t>
  </si>
  <si>
    <t>⚙️ LUỒNG CHỈNH SỬA HÌNH ẢNH NÂNG CAO</t>
  </si>
  <si>
    <t>TC_E2E_013</t>
  </si>
  <si>
    <t>Xóa nền → Resize → Căn giữa → Đặt hàng</t>
  </si>
  <si>
    <t>Chỉnh sửa</t>
  </si>
  <si>
    <t>1. Home → Tạo artwork → [Dùng ảnh này]
2. Cài đặt hình ảnh: Bật [Xóa nền]
3. Chỉnh Width = 200, Height = 300
4. Chọn Vị trí: [Căn giữa]
5. Preview trên áo → OK
6. [Đặt hàng] → [Mua ngay] → Checkout → Thành công</t>
  </si>
  <si>
    <t>Xóa nền: ON
W: 200, H: 300
Vị trí: Căn giữa</t>
  </si>
  <si>
    <t>Artwork không nền, đúng kích thước, căn giữa, đặt hàng OK</t>
  </si>
  <si>
    <t>TC_E2E_014</t>
  </si>
  <si>
    <t>Drag trên canvas → Thay đổi layer → Đặt hàng</t>
  </si>
  <si>
    <t>1. Home → Tạo artwork → [Dùng ảnh này]
2. Kéo (drag) artwork đến vị trí mong muốn trên canvas
3. Resize bằng handle góc
4. Thứ tự lớp: [Đưa lên trên]
5. Kiểm tra preview → [Đặt hàng] → Checkout → Thành công</t>
  </si>
  <si>
    <t>Drag: Vị trí ngực trái
Layer: Đưa lên trên</t>
  </si>
  <si>
    <t>Artwork ở đúng vị trí drag, layer đúng, đặt hàng OK</t>
  </si>
  <si>
    <t>TC_E2E_015</t>
  </si>
  <si>
    <t>Chỉnh sửa → Undo/Tắt xóa nền → Đặt hàng</t>
  </si>
  <si>
    <t>1. Home → Tạo artwork → [Dùng ảnh này]
2. Bật [Xóa nền] → kiểm tra ảnh không nền
3. TẮT [Xóa nền] → kiểm tra nền hiện lại
4. Chỉnh kích thước cuối cùng → Căn giữa
5. [Đặt hàng] → Checkout → Thành công</t>
  </si>
  <si>
    <t>Xóa nền: ON → OFF → verify</t>
  </si>
  <si>
    <t>Toggle xóa nền hoạt động đúng 2 chiều, đặt hàng OK</t>
  </si>
  <si>
    <t>📱 LUỒNG MOBILE / RESPONSIVE</t>
  </si>
  <si>
    <t>TC_E2E_016</t>
  </si>
  <si>
    <t>Full flow trên Mobile 375px (iPhone SE)</t>
  </si>
  <si>
    <t>Mobile</t>
  </si>
  <si>
    <t>1. Mobile 375px: Home → Nhập ý tưởng → [Tạo ngay]
2. Design Studio mobile → View 3 artwork (swipe)
3. [Dùng ảnh này] → Cài đặt hình ảnh mobile
4. Chỉnh sửa trên canvas touch → Pinch zoom/drag
5. [Đặt hàng] → [Mua ngay] → Checkout mobile
6. Nhập form → Thanh toán → Thành công</t>
  </si>
  <si>
    <t>Viewport: 375x667
Touch: Swipe, Pinch, Drag</t>
  </si>
  <si>
    <t>Mọi bước responsive đúng, touch hoạt động, đặt hàng OK</t>
  </si>
  <si>
    <t>TC_E2E_017</t>
  </si>
  <si>
    <t>Full flow trên Tablet 768px (iPad)</t>
  </si>
  <si>
    <t>Tablet</t>
  </si>
  <si>
    <t>1. Tablet 768px: Home → Nhập ý tưởng → [Tạo ngay]
2. Design Studio → View artwork → [Dùng ảnh]
3. Cài đặt hình ảnh (sidebar/panel layout)
4. [Đặt hàng] → Checkout → Thành công</t>
  </si>
  <si>
    <t>Viewport: 768x1024</t>
  </si>
  <si>
    <t>Layout tablet hiển thị đúng, không bị vỡ UI, đặt hàng OK</t>
  </si>
  <si>
    <t>⚠️ LUỒNG NEGATIVE / GIÁN ĐOẠN</t>
  </si>
  <si>
    <t>TC_E2E_018</t>
  </si>
  <si>
    <t>Refresh trang giữa Bước Cài đặt hình ảnh</t>
  </si>
  <si>
    <t>Negative</t>
  </si>
  <si>
    <t>1. Home → Tạo artwork → [Dùng ảnh này]
2. Cài đặt hình ảnh: chỉnh W/H, xóa nền
3. *** REFRESH TRANG (F5) ***
4. Kiểm tra: artwork và cài đặt có được giữ lại không?
5. Nếu giữ lại → tiếp tục Đặt hàng → Checkout → Thành công
6. Nếu mất → phải tạo lại từ đầu</t>
  </si>
  <si>
    <t>F5 refresh tại bước Cài đặt hình ảnh</t>
  </si>
  <si>
    <t>Artwork và settings được giữ lại (hoặc recover được), UX rõ ràng</t>
  </si>
  <si>
    <t>TC_E2E_019</t>
  </si>
  <si>
    <t>Back browser từ Checkout → quay lại Design Studio</t>
  </si>
  <si>
    <t>1. Home → Tạo → Dùng ảnh → Cài đặt → [Đặt hàng] → [Mua ngay]
2. Đang ở MH Checkout
3. *** CLICK BACK BROWSER ***
4. Kiểm tra: quay lại Design Studio, artwork còn trên canvas?
5. Tiếp tục [Đặt hàng] lại → Checkout → Thành công</t>
  </si>
  <si>
    <t>Browser Back tại Checkout</t>
  </si>
  <si>
    <t>Quay lại DS bình thường, artwork không mất, đặt lại được</t>
  </si>
  <si>
    <t>TC_E2E_020</t>
  </si>
  <si>
    <t>Mất mạng khi AI đang tạo artwork</t>
  </si>
  <si>
    <t>1. Home → Nhập ý tưởng → [Tạo ngay]
2. *** MẤT KẾT NỐI MẠNG khi AI đang xử lý ***
3. Kiểm tra: hiển thị lỗi mạng + nút [Thử lại]
4. Bật lại mạng → Click [Thử lại]
5. AI tạo artwork OK → tiếp tục flow → Checkout → Thành công</t>
  </si>
  <si>
    <t>Tắt WiFi tại bước AI generate</t>
  </si>
  <si>
    <t>Lỗi mạng xử lý gracefully, retry hoạt động, không mất data</t>
  </si>
  <si>
    <t>TC_E2E_021</t>
  </si>
  <si>
    <t>Checkout → Submit form với field trống</t>
  </si>
  <si>
    <t>1. Home → Tạo → Dùng ảnh → Cài đặt → [Đặt hàng] → [Mua ngay]
2. MH Checkout: BỎ TRỐNG một số field bắt buộc
3. Click [Thanh toán]
4. Kiểm tra: hiển thị lỗi validation rõ ràng
5. Sửa lại field → Submit lại → Thành công</t>
  </si>
  <si>
    <t>Để trống: SĐT, Địa chỉ</t>
  </si>
  <si>
    <t>Validation lỗi đúng field, sửa lại và submit OK</t>
  </si>
  <si>
    <t>TC_E2E_022</t>
  </si>
  <si>
    <t>Không chọn ảnh/không nhập ý tưởng → luồng bị chặn</t>
  </si>
  <si>
    <t>1. Home → KHÔNG nhập ý tưởng → Click [Tạo ngay]
2. Kiểm tra: hiển thị lỗi validation
3. Nhập ý tưởng → [Tạo ngay] → View 3 artwork
4. KHÔNG chọn ảnh nào → thử [Dùng ảnh này]
5. Kiểm tra xử lý khi chưa select ảnh
6. Chọn ảnh → tiếp tục flow → Checkout → Thành công</t>
  </si>
  <si>
    <t>(trống ý tưởng) + (không chọn ảnh)</t>
  </si>
  <si>
    <t>Validation chặn đúng chỗ, hướng dẫn user rõ, flow recover được</t>
  </si>
  <si>
    <t>🔥 LUỒNG ĐẶC BIỆT</t>
  </si>
  <si>
    <t>TC_E2E_023</t>
  </si>
  <si>
    <t>Tạo 2 đơn hàng liên tiếp cùng session</t>
  </si>
  <si>
    <t>Đặc biệt</t>
  </si>
  <si>
    <t>1. Home → Tạo artwork 1 → Dùng ảnh → [Đặt hàng] → [Mua ngay] → Checkout → Thành công (Đơn 1)
2. Quay lại Home → Tạo artwork 2 (ý tưởng khác)
3. Dùng ảnh → [Đặt hàng] → [Mua ngay] → Checkout → Thành công (Đơn 2)
4. Kiểm tra: 2 đơn hàng riêng biệt, mã khác nhau</t>
  </si>
  <si>
    <t>Đơn 1: 'Rồng VN' COD
Đơn 2: 'Hoa sen' Chuyển khoản</t>
  </si>
  <si>
    <t>2 đơn hàng tạo thành công, mã khác nhau, không conflict</t>
  </si>
  <si>
    <t>TC_E2E_024</t>
  </si>
  <si>
    <t>Thêm giỏ → Sửa artwork → Thêm giỏ lại → Checkout</t>
  </si>
  <si>
    <t>1. Home → Tạo artwork → Dùng ảnh → [Thêm giỏ hàng] (SP bản gốc)
2. Quay lại canvas → [Sửa với AI] → Nhập prompt → Tạo mới
3. Dùng ảnh mới → [Thêm giỏ hàng] (SP bản sửa)
4. Giỏ hàng: kiểm tra 2 SP khác nhau (gốc vs sửa)
5. Checkout toàn bộ giỏ → Thành công</t>
  </si>
  <si>
    <t>SP1: artwork gốc
SP2: artwork đã sửa AI</t>
  </si>
  <si>
    <t>Giỏ có 2 SP khác nhau, thumbnail đúng, checkout OK</t>
  </si>
  <si>
    <t>TC_E2E_025</t>
  </si>
  <si>
    <t>Full flow với phong cách khác: 3D / Anime / Trừu tượng</t>
  </si>
  <si>
    <t>1. Home → Ý tưởng: 'Samurai Nhật Bản'
2. Chọn phong cách: 3D (hoặc Anime, Trừu tượng)
3. [Tạo ngay] → View 3 artwork phong cách 3D
4. Dùng ảnh → Cài đặt → Đặt hàng → Checkout → Thành công
5. Kiểm tra artwork thật sự giống phong cách đã chọn</t>
  </si>
  <si>
    <t>Phong cách: 3D
Ý tưởng: 'Samurai Nhật Bản'</t>
  </si>
  <si>
    <t>Artwork đúng phong cách 3D, không bị lẫn style, đặt hàng OK</t>
  </si>
  <si>
    <t>Lặp lại với Anime, Trừu tượng</t>
  </si>
  <si>
    <t>TC_E2E_026</t>
  </si>
  <si>
    <t>Input chứa ký tự đặc biệt / emoji → Full flow</t>
  </si>
  <si>
    <t>1. Home → Ý tưởng: '🐉 Rồng &amp; Phượng &lt;b&gt;HTML&lt;/b&gt; @#$%'
2. [Tạo ngay] → AI xử lý được prompt đặc biệt
3. View artwork → Dùng ảnh → Cài đặt → Đặt hàng
4. Checkout → Thông tin bình thường → Thành công</t>
  </si>
  <si>
    <t>Ý tưởng chứa: emoji, HTML, special chars</t>
  </si>
  <si>
    <t>Không XSS, AI xử lý được, full flow thành công</t>
  </si>
  <si>
    <t>Security + Functional</t>
  </si>
  <si>
    <t>📊 THỐNG KÊ E2E FLOW</t>
  </si>
  <si>
    <t>Tổng luồng E2E</t>
  </si>
  <si>
    <t>Số nhóm</t>
  </si>
  <si>
    <t>P0 (Critical)</t>
  </si>
  <si>
    <t>P1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</si>
</sst>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4"/>
      <color rgb="FF1F4E79"/>
      <name val="Calibri"/>
    </font>
    <font>
      <sz val="14"/>
      <name val="Calibri"/>
    </font>
    <font>
      <b/>
      <sz val="11"/>
      <color rgb="FFFFFFFF"/>
      <name val="Calibri"/>
    </font>
    <font>
      <b/>
      <sz val="12"/>
      <color rgb="FF1F4E79"/>
      <name val="Calibri"/>
    </font>
    <font>
      <sz val="11"/>
      <name val="Calibri"/>
    </font>
    <font>
      <b/>
      <sz val="11"/>
      <color rgb="FF2E75B6"/>
      <name val="Calibri"/>
    </font>
    <font>
      <b/>
      <sz val="16"/>
      <color rgb="FF1F4E79"/>
      <name val="Calibri"/>
    </font>
    <font>
      <b/>
      <sz val="11"/>
      <name val="Calibri"/>
    </font>
    <font>
      <i/>
      <sz val="11"/>
      <color rgb="FF555555"/>
      <name val="Calibri"/>
    </font>
    <font>
      <u/>
      <sz val="11"/>
      <color rgb="FF0563C1"/>
      <name val="Calibri"/>
    </font>
    <font>
      <b/>
      <sz val="11"/>
      <color rgb="FF9C0006"/>
      <name val="Calibri"/>
    </font>
    <font>
      <b/>
      <sz val="11"/>
      <color rgb="FF1F4E79"/>
      <name val="Calibri"/>
    </font>
  </fonts>
  <fills count="26">
    <fill>
      <patternFill patternType="none"/>
    </fill>
    <fill>
      <patternFill patternType="gray125"/>
    </fill>
    <fill>
      <patternFill patternType="solid">
        <fgColor rgb="FF1F4E79"/>
      </patternFill>
    </fill>
    <fill>
      <patternFill patternType="solid">
        <fgColor rgb="FF2E75B6"/>
      </patternFill>
    </fill>
    <fill>
      <patternFill patternType="solid">
        <fgColor rgb="FFFFC000"/>
      </patternFill>
    </fill>
    <fill>
      <patternFill patternType="solid">
        <fgColor rgb="FFD6E4F0"/>
      </patternFill>
    </fill>
    <fill>
      <patternFill patternType="solid">
        <fgColor rgb="FF82B366"/>
      </patternFill>
    </fill>
    <fill>
      <patternFill patternType="solid">
        <fgColor rgb="FF6C8EBF"/>
      </patternFill>
    </fill>
    <fill>
      <patternFill patternType="solid">
        <fgColor rgb="FFB85450"/>
      </patternFill>
    </fill>
    <fill>
      <patternFill patternType="solid">
        <fgColor rgb="FFF2DCDB"/>
      </patternFill>
    </fill>
    <fill>
      <patternFill patternType="solid">
        <fgColor rgb="FFD5E8D4"/>
      </patternFill>
    </fill>
    <fill>
      <patternFill patternType="solid">
        <fgColor rgb="FFDAE8FC"/>
      </patternFill>
    </fill>
    <fill>
      <patternFill patternType="solid">
        <fgColor rgb="FFF8CECC"/>
      </patternFill>
    </fill>
    <fill>
      <patternFill patternType="solid">
        <fgColor rgb="FFFFA500"/>
      </patternFill>
    </fill>
    <fill>
      <patternFill patternType="solid">
        <fgColor rgb="FFFFEB9C"/>
      </patternFill>
    </fill>
    <fill>
      <patternFill patternType="solid">
        <fgColor rgb="FFFF6B6B"/>
      </patternFill>
    </fill>
    <fill>
      <patternFill patternType="solid">
        <fgColor rgb="FFE2EFDA"/>
      </patternFill>
    </fill>
    <fill>
      <patternFill patternType="solid">
        <fgColor rgb="FFDCE6F1"/>
      </patternFill>
    </fill>
    <fill>
      <patternFill patternType="solid">
        <fgColor rgb="FFE4DFEC"/>
      </patternFill>
    </fill>
    <fill>
      <patternFill patternType="solid">
        <fgColor rgb="FFFFC7CE"/>
      </patternFill>
    </fill>
    <fill>
      <patternFill patternType="solid">
        <fgColor rgb="FFEBF1DE"/>
      </patternFill>
    </fill>
    <fill>
      <patternFill patternType="solid">
        <fgColor rgb="FFFDE9D9"/>
      </patternFill>
    </fill>
    <fill>
      <patternFill patternType="solid">
        <fgColor rgb="FFDAEEF3"/>
      </patternFill>
    </fill>
    <fill>
      <patternFill patternType="solid">
        <fgColor rgb="FFFFF2CC"/>
      </patternFill>
    </fill>
    <fill>
      <patternFill patternType="solid">
        <fgColor rgb="FFFFE6CC"/>
      </patternFill>
    </fill>
    <fill>
      <patternFill patternType="solid">
        <fgColor rgb="FFE1D5E7"/>
      </patternFill>
    </fill>
  </fills>
  <borders count="4">
    <border>
      <left/>
      <right/>
      <top/>
      <bottom/>
      <diagonal/>
    </border>
    <border>
      <left style="thin">
        <color rgb="FFB0B0B0"/>
      </left>
      <right style="thin">
        <color rgb="FFB0B0B0"/>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s>
  <cellStyleXfs count="1">
    <xf numFmtId="0" fontId="0" fillId="0" borderId="0"/>
  </cellStyleXfs>
  <cellXfs count="6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5" fillId="0" borderId="1" xfId="0" applyFont="1" applyBorder="1" applyAlignment="1">
      <alignment horizontal="center"/>
    </xf>
    <xf numFmtId="9" fontId="5" fillId="0" borderId="1" xfId="0" applyNumberFormat="1" applyFont="1" applyBorder="1" applyAlignment="1">
      <alignment horizontal="center"/>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5" fillId="0" borderId="1" xfId="0" applyFont="1" applyBorder="1" applyAlignment="1">
      <alignment vertical="top" wrapText="1"/>
    </xf>
    <xf numFmtId="0" fontId="6" fillId="0" borderId="1" xfId="0" applyFont="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8" fillId="0" borderId="1" xfId="0" applyFont="1" applyBorder="1" applyAlignment="1">
      <alignment vertical="top" wrapText="1"/>
    </xf>
    <xf numFmtId="0" fontId="5" fillId="14" borderId="1" xfId="0" applyFont="1" applyFill="1" applyBorder="1" applyAlignment="1">
      <alignment vertical="top" wrapText="1"/>
    </xf>
    <xf numFmtId="0" fontId="9" fillId="0" borderId="1" xfId="0" applyFont="1" applyBorder="1" applyAlignment="1">
      <alignment vertical="top" wrapText="1"/>
    </xf>
    <xf numFmtId="0" fontId="3" fillId="13" borderId="1" xfId="0" applyFont="1" applyFill="1" applyBorder="1" applyAlignment="1">
      <alignment vertical="top" wrapText="1"/>
    </xf>
    <xf numFmtId="0" fontId="5" fillId="10" borderId="1" xfId="0" applyFont="1" applyFill="1" applyBorder="1" applyAlignment="1">
      <alignment vertical="top" wrapText="1"/>
    </xf>
    <xf numFmtId="0" fontId="5" fillId="11" borderId="1" xfId="0" applyFont="1" applyFill="1" applyBorder="1" applyAlignment="1">
      <alignment vertical="top" wrapText="1"/>
    </xf>
    <xf numFmtId="0" fontId="5" fillId="12" borderId="1" xfId="0" applyFont="1" applyFill="1" applyBorder="1" applyAlignment="1">
      <alignment vertical="top" wrapText="1"/>
    </xf>
    <xf numFmtId="0" fontId="10" fillId="0" borderId="1" xfId="0" applyFont="1" applyBorder="1" applyAlignment="1">
      <alignment vertical="top" wrapText="1"/>
    </xf>
    <xf numFmtId="0" fontId="8" fillId="14" borderId="1" xfId="0" applyFont="1" applyFill="1" applyBorder="1" applyAlignment="1">
      <alignment vertical="top" wrapText="1"/>
    </xf>
    <xf numFmtId="0" fontId="3" fillId="15" borderId="1" xfId="0" applyFont="1" applyFill="1" applyBorder="1" applyAlignment="1">
      <alignment vertical="top" wrapText="1"/>
    </xf>
    <xf numFmtId="0" fontId="8" fillId="16" borderId="1" xfId="0" applyFont="1" applyFill="1" applyBorder="1" applyAlignment="1">
      <alignment vertical="top" wrapText="1"/>
    </xf>
    <xf numFmtId="0" fontId="11" fillId="19" borderId="1" xfId="0" applyFont="1" applyFill="1" applyBorder="1" applyAlignment="1">
      <alignment vertical="top" wrapText="1"/>
    </xf>
    <xf numFmtId="0" fontId="5" fillId="19" borderId="1" xfId="0" applyFont="1" applyFill="1" applyBorder="1" applyAlignment="1">
      <alignment vertical="top" wrapText="1"/>
    </xf>
    <xf numFmtId="0" fontId="8" fillId="0" borderId="1" xfId="0" applyFont="1" applyBorder="1"/>
    <xf numFmtId="0" fontId="12" fillId="0" borderId="1" xfId="0" applyFont="1" applyBorder="1"/>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12" fillId="0" borderId="1" xfId="0" applyFont="1" applyBorder="1" applyAlignment="1">
      <alignment horizontal="left" vertical="top" wrapText="1"/>
    </xf>
    <xf numFmtId="0" fontId="8" fillId="11" borderId="1" xfId="0" applyFont="1" applyFill="1" applyBorder="1" applyAlignment="1">
      <alignment horizontal="center" vertical="top" wrapText="1"/>
    </xf>
    <xf numFmtId="0" fontId="12" fillId="0" borderId="1" xfId="0" applyFont="1" applyBorder="1" applyAlignment="1">
      <alignment horizontal="center" vertical="top" wrapText="1"/>
    </xf>
    <xf numFmtId="0" fontId="3" fillId="15" borderId="1" xfId="0" applyFont="1" applyFill="1" applyBorder="1" applyAlignment="1">
      <alignment horizontal="center" vertical="top" wrapText="1"/>
    </xf>
    <xf numFmtId="0" fontId="5" fillId="10" borderId="1" xfId="0" applyFont="1" applyFill="1" applyBorder="1" applyAlignment="1">
      <alignment horizontal="center" vertical="top" wrapText="1"/>
    </xf>
    <xf numFmtId="0" fontId="5" fillId="11" borderId="1" xfId="0" applyFont="1" applyFill="1" applyBorder="1" applyAlignment="1">
      <alignment horizontal="center" vertical="top" wrapText="1"/>
    </xf>
    <xf numFmtId="0" fontId="3" fillId="13" borderId="1" xfId="0" applyFont="1" applyFill="1" applyBorder="1" applyAlignment="1">
      <alignment horizontal="center" vertical="top" wrapText="1"/>
    </xf>
    <xf numFmtId="0" fontId="8" fillId="12" borderId="1" xfId="0" applyFont="1" applyFill="1" applyBorder="1" applyAlignment="1">
      <alignment horizontal="center" vertical="top" wrapText="1"/>
    </xf>
    <xf numFmtId="0" fontId="8" fillId="0" borderId="1" xfId="0" applyFont="1" applyBorder="1" applyAlignment="1">
      <alignment horizontal="center" vertical="top" wrapText="1"/>
    </xf>
    <xf numFmtId="0" fontId="8" fillId="0" borderId="1" xfId="0" applyFont="1" applyBorder="1" applyAlignment="1">
      <alignment horizontal="left" vertical="top" wrapText="1"/>
    </xf>
    <xf numFmtId="0" fontId="8" fillId="10" borderId="1" xfId="0" applyFont="1" applyFill="1" applyBorder="1" applyAlignment="1">
      <alignment horizontal="center" vertical="top" wrapText="1"/>
    </xf>
    <xf numFmtId="0" fontId="9" fillId="0" borderId="1" xfId="0" applyFont="1" applyBorder="1" applyAlignment="1">
      <alignment horizontal="left" vertical="top" wrapText="1"/>
    </xf>
    <xf numFmtId="0" fontId="8" fillId="18" borderId="1" xfId="0" applyFont="1" applyFill="1" applyBorder="1" applyAlignment="1">
      <alignment horizontal="center" vertical="top" wrapText="1"/>
    </xf>
    <xf numFmtId="0" fontId="8" fillId="25" borderId="1" xfId="0" applyFont="1" applyFill="1" applyBorder="1" applyAlignment="1">
      <alignment horizontal="center" vertical="top" wrapText="1"/>
    </xf>
    <xf numFmtId="0" fontId="8" fillId="22" borderId="1" xfId="0" applyFont="1" applyFill="1" applyBorder="1" applyAlignment="1">
      <alignment horizontal="center" vertical="top" wrapText="1"/>
    </xf>
    <xf numFmtId="0" fontId="8" fillId="23" borderId="1" xfId="0" applyFont="1" applyFill="1" applyBorder="1" applyAlignment="1">
      <alignment horizontal="center" vertical="top" wrapText="1"/>
    </xf>
    <xf numFmtId="0" fontId="8" fillId="21" borderId="1" xfId="0" applyFont="1" applyFill="1" applyBorder="1" applyAlignment="1">
      <alignment horizontal="center" vertical="top" wrapText="1"/>
    </xf>
    <xf numFmtId="0" fontId="7" fillId="0" borderId="0" xfId="0" applyFont="1"/>
    <xf numFmtId="0" fontId="0" fillId="0" borderId="0" xfId="0"/>
    <xf numFmtId="0" fontId="4" fillId="5" borderId="1" xfId="0" applyFont="1" applyFill="1" applyBorder="1"/>
    <xf numFmtId="0" fontId="0" fillId="0" borderId="2" xfId="0" applyBorder="1"/>
    <xf numFmtId="0" fontId="0" fillId="0" borderId="3" xfId="0" applyBorder="1"/>
    <xf numFmtId="0" fontId="4" fillId="21" borderId="1" xfId="0" applyFont="1" applyFill="1" applyBorder="1"/>
    <xf numFmtId="0" fontId="4" fillId="18" borderId="1" xfId="0" applyFont="1" applyFill="1" applyBorder="1"/>
    <xf numFmtId="0" fontId="4" fillId="22" borderId="1" xfId="0" applyFont="1" applyFill="1" applyBorder="1"/>
    <xf numFmtId="0" fontId="4" fillId="20" borderId="1" xfId="0" applyFont="1" applyFill="1" applyBorder="1"/>
    <xf numFmtId="0" fontId="4" fillId="9" borderId="1" xfId="0" applyFont="1" applyFill="1" applyBorder="1"/>
    <xf numFmtId="0" fontId="4" fillId="17" borderId="1" xfId="0" applyFont="1" applyFill="1" applyBorder="1"/>
    <xf numFmtId="0" fontId="1" fillId="0" borderId="0" xfId="0" applyFont="1"/>
    <xf numFmtId="0" fontId="4" fillId="11" borderId="1" xfId="0" applyFont="1" applyFill="1" applyBorder="1"/>
    <xf numFmtId="0" fontId="4" fillId="12" borderId="1" xfId="0" applyFont="1" applyFill="1" applyBorder="1"/>
    <xf numFmtId="0" fontId="4" fillId="23" borderId="1" xfId="0" applyFont="1" applyFill="1" applyBorder="1"/>
    <xf numFmtId="0" fontId="4" fillId="10" borderId="1" xfId="0" applyFont="1" applyFill="1" applyBorder="1"/>
    <xf numFmtId="0" fontId="4" fillId="25" borderId="1" xfId="0" applyFont="1" applyFill="1" applyBorder="1"/>
    <xf numFmtId="0" fontId="4" fillId="24"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E2E%20FLO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2E FLOW"/>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xml version="1.0" encoding="UTF-8" standalone="yes"?>
<Relationships xmlns="http://schemas.openxmlformats.org/package/2006/relationships"><Relationship Id="rId26" Type="http://schemas.openxmlformats.org/officeDocument/2006/relationships/hyperlink" Target="Artwork_Samples_Real/TC_026_AI_Anime_Anime___Manga.jpg" TargetMode="External"/><Relationship Id="rId21" Type="http://schemas.openxmlformats.org/officeDocument/2006/relationships/hyperlink" Target="Artwork_Samples_Real/TC_021_Collage_k&#7929;_thu&#7853;t_s&#7889;_Ch&#7881;nh_s&#7917;a_&#7843;nh_gh&#233;p.jpg" TargetMode="External"/><Relationship Id="rId42" Type="http://schemas.openxmlformats.org/officeDocument/2006/relationships/hyperlink" Target="Artwork_Samples_Real/TC_042_Ngh&#7879;_thu&#7853;t_Ch&#226;u_Phi_Kente___Ankara.jpg" TargetMode="External"/><Relationship Id="rId47" Type="http://schemas.openxmlformats.org/officeDocument/2006/relationships/hyperlink" Target="Artwork_Samples_Real/TC_047_Ngh&#7879;_thu&#7853;t_H&#224;n_Qu&#7889;c_Tranh_d&#226;n_gian_Minhwa.jpg" TargetMode="External"/><Relationship Id="rId63" Type="http://schemas.openxmlformats.org/officeDocument/2006/relationships/hyperlink" Target="Artwork_Samples_Real/TC_063_Th&#7875;_thao___&#272;&#7897;i_nh&#243;m_S&#7889;_&#225;o_Jersey.jpg" TargetMode="External"/><Relationship Id="rId68" Type="http://schemas.openxmlformats.org/officeDocument/2006/relationships/hyperlink" Target="Artwork_Samples_Real/TC_068_Edge_Case_Artwork_&#273;en_tr&#234;n_&#225;o_t&#7889;i.jpg" TargetMode="External"/><Relationship Id="rId16" Type="http://schemas.openxmlformats.org/officeDocument/2006/relationships/hyperlink" Target="Artwork_Samples_Real/TC_016_V&#7869;_k&#7929;_thu&#7853;t_s&#7889;_Concept_Art.jpg" TargetMode="External"/><Relationship Id="rId11" Type="http://schemas.openxmlformats.org/officeDocument/2006/relationships/hyperlink" Target="Artwork_Samples_Real/TC_011_Tranh_kh&#7855;c_In_&#273;&#225;__Lithography.jpg" TargetMode="External"/><Relationship Id="rId24" Type="http://schemas.openxmlformats.org/officeDocument/2006/relationships/hyperlink" Target="Artwork_Samples_Real/TC_024_AI_Th&#7921;c_t&#7871;_Ch&#226;n_dung_gi&#7889;ng_&#7843;nh_th&#7853;t.jpg" TargetMode="External"/><Relationship Id="rId32" Type="http://schemas.openxmlformats.org/officeDocument/2006/relationships/hyperlink" Target="Artwork_Samples_Real/TC_032_AI_Sticker_Sticker_ki&#7875;u_d&#225;n.jpg" TargetMode="External"/><Relationship Id="rId37" Type="http://schemas.openxmlformats.org/officeDocument/2006/relationships/hyperlink" Target="Artwork_Samples_Real/TC_037_Th&#432;_ph&#225;p_Trung_Qu&#7889;c_Ch&#7919;_c&#7893;_&#273;i&#7875;n.jpg" TargetMode="External"/><Relationship Id="rId40" Type="http://schemas.openxmlformats.org/officeDocument/2006/relationships/hyperlink" Target="Artwork_Samples_Real/TC_040_Ngh&#7879;_thu&#7853;t_&#7844;n_&#272;&#7897;_Kalamkari.jpg" TargetMode="External"/><Relationship Id="rId45" Type="http://schemas.openxmlformats.org/officeDocument/2006/relationships/hyperlink" Target="Artwork_Samples_Real/TC_045_Ngh&#7879;_thu&#7853;t_M&#7929;_Latinh_Ngh&#7879;_thu&#7853;t_d&#226;n_gian_Mexico___Alebrije.jpg" TargetMode="External"/><Relationship Id="rId53" Type="http://schemas.openxmlformats.org/officeDocument/2006/relationships/hyperlink" Target="Artwork_Samples_Real/TC_053_&#193;o_&#273;&#7891;_h&#7885;a_Huy_hi&#7879;u_Vintage___Emblem.jpg" TargetMode="External"/><Relationship Id="rId58" Type="http://schemas.openxmlformats.org/officeDocument/2006/relationships/hyperlink" Target="Artwork_Samples_Real/TC_058_M&#7851;u_l&#7863;p___Allover_M&#7851;u_hoa.jpg" TargetMode="External"/><Relationship Id="rId66" Type="http://schemas.openxmlformats.org/officeDocument/2006/relationships/hyperlink" Target="Artwork_Samples_Real/TC_066_Edge_Case_Chi_ti&#7871;t_si&#234;u_nh&#7887;.jpg" TargetMode="External"/><Relationship Id="rId74" Type="http://schemas.openxmlformats.org/officeDocument/2006/relationships/hyperlink" Target="Artwork_Samples_Real/TC_074_Edge_Case_Text_c&#7921;c_l&#7899;n.jpg" TargetMode="External"/><Relationship Id="rId5" Type="http://schemas.openxmlformats.org/officeDocument/2006/relationships/hyperlink" Target="Artwork_Samples_Real/TC_005_Tranh_acrylic_Bi&#7875;u_hi&#7879;n_Tr&#7915;u_t&#432;&#7907;ng.jpg" TargetMode="External"/><Relationship Id="rId61" Type="http://schemas.openxmlformats.org/officeDocument/2006/relationships/hyperlink" Target="Artwork_Samples_Real/TC_061_T&#7889;i_gi&#7843;n_Icon___Bi&#7875;u_t&#432;&#7907;ng_&#273;&#417;n.jpg" TargetMode="External"/><Relationship Id="rId19" Type="http://schemas.openxmlformats.org/officeDocument/2006/relationships/hyperlink" Target="Artwork_Samples_Real/TC_019_Render_3D_Render_&#7843;nh_th&#7921;c.jpg" TargetMode="External"/><Relationship Id="rId14" Type="http://schemas.openxmlformats.org/officeDocument/2006/relationships/hyperlink" Target="Artwork_Samples_Real/TC_014_&#272;&#7891;_h&#7885;a_vector_Isometric.jpg" TargetMode="External"/><Relationship Id="rId22" Type="http://schemas.openxmlformats.org/officeDocument/2006/relationships/hyperlink" Target="Artwork_Samples_Real/TC_022_Khung_Motion_Graphics_Poster_&#273;&#7897;ng.jpg" TargetMode="External"/><Relationship Id="rId27" Type="http://schemas.openxmlformats.org/officeDocument/2006/relationships/hyperlink" Target="Artwork_Samples_Real/TC_027_AI_Tr&#7915;u_t&#432;&#7907;ng_Ngh&#7879;_thu&#7853;t_ch&#7845;t_l&#7887;ng.jpg" TargetMode="External"/><Relationship Id="rId30" Type="http://schemas.openxmlformats.org/officeDocument/2006/relationships/hyperlink" Target="Artwork_Samples_Real/TC_030_AI_Si&#234;u_th&#7921;c_Dreamcore___Ch&#7911;_ngh&#297;a_si&#234;u_th&#7921;c.jpg" TargetMode="External"/><Relationship Id="rId35" Type="http://schemas.openxmlformats.org/officeDocument/2006/relationships/hyperlink" Target="Artwork_Samples_Real/TC_035_Ukiyo_e_Nh&#7853;t_B&#7843;n_Tranh_kh&#7855;c_g&#7895;.jpg" TargetMode="External"/><Relationship Id="rId43" Type="http://schemas.openxmlformats.org/officeDocument/2006/relationships/hyperlink" Target="Artwork_Samples_Real/TC_043_Ngh&#7879;_thu&#7853;t_Ch&#226;u_Phi_V&#7843;i_b&#249;n__B&#242;g&#242;lanfini.jpg" TargetMode="External"/><Relationship Id="rId48" Type="http://schemas.openxmlformats.org/officeDocument/2006/relationships/hyperlink" Target="Artwork_Samples_Real/TC_048_Ngh&#7879;_thu&#7853;t_Th&#225;i_Lan_Khon___Ngh&#7879;_thu&#7853;t_&#273;&#7873;n.jpg" TargetMode="External"/><Relationship Id="rId56" Type="http://schemas.openxmlformats.org/officeDocument/2006/relationships/hyperlink" Target="Artwork_Samples_Real/TC_056_Ngh&#7879;_thu&#7853;t_&#273;&#7897;ng_v&#7853;t_&#272;&#7897;ng_v&#7853;t_h&#236;nh_h&#7885;c___&#272;a_gi&#225;c.jpg" TargetMode="External"/><Relationship Id="rId64" Type="http://schemas.openxmlformats.org/officeDocument/2006/relationships/hyperlink" Target="Artwork_Samples_Real/TC_064_Edge_Case_To&#224;n_c&#7843;nh_si&#234;u_r&#7897;ng.jpg" TargetMode="External"/><Relationship Id="rId69" Type="http://schemas.openxmlformats.org/officeDocument/2006/relationships/hyperlink" Target="Artwork_Samples_Real/TC_069_Edge_Case_Artwork_to&#224;n_tr&#7855;ng.jpg" TargetMode="External"/><Relationship Id="rId77" Type="http://schemas.openxmlformats.org/officeDocument/2006/relationships/hyperlink" Target="Artwork_Samples_Real/TC_077_Edge_Case_C&#7841;nh_gradient_trong_su&#7889;t.jpg" TargetMode="External"/><Relationship Id="rId8" Type="http://schemas.openxmlformats.org/officeDocument/2006/relationships/hyperlink" Target="Artwork_Samples_Real/TC_008_Ph&#225;c_th&#7843;o_b&#250;t_ch&#236;_Ph&#225;c_th&#7843;o_th&#7921;c_t&#7871;.jpg" TargetMode="External"/><Relationship Id="rId51" Type="http://schemas.openxmlformats.org/officeDocument/2006/relationships/hyperlink" Target="Artwork_Samples_Real/TC_051_Thi&#7871;t_k&#7871;_Typography_Slogan_&#273;&#7853;m.jpg" TargetMode="External"/><Relationship Id="rId72" Type="http://schemas.openxmlformats.org/officeDocument/2006/relationships/hyperlink" Target="Artwork_Samples_Real/TC_072_Edge_Case_GIF_&#273;&#7897;ng___T&#297;nh.jpg" TargetMode="External"/><Relationship Id="rId3" Type="http://schemas.openxmlformats.org/officeDocument/2006/relationships/hyperlink" Target="Artwork_Samples_Real/TC_003_Tranh_m&#224;u_n&#432;&#7899;c_&#431;&#7899;t_tr&#234;n_&#432;&#7899;t.jpg" TargetMode="External"/><Relationship Id="rId12" Type="http://schemas.openxmlformats.org/officeDocument/2006/relationships/hyperlink" Target="Artwork_Samples_Real/TC_012_Ngh&#7879;_thu&#7853;t_kh&#7843;m_Byzantine___G&#7841;ch_men.jpg" TargetMode="External"/><Relationship Id="rId17" Type="http://schemas.openxmlformats.org/officeDocument/2006/relationships/hyperlink" Target="Artwork_Samples_Real/TC_017_Pixel_Art_Retro_8_bit.jpg" TargetMode="External"/><Relationship Id="rId25" Type="http://schemas.openxmlformats.org/officeDocument/2006/relationships/hyperlink" Target="Artwork_Samples_Real/TC_025_AI_Fantasy_C&#7843;nh_Fantasy_ho&#224;nh_tr&#225;ng.jpg" TargetMode="External"/><Relationship Id="rId33" Type="http://schemas.openxmlformats.org/officeDocument/2006/relationships/hyperlink" Target="Artwork_Samples_Real/TC_033_AI_M&#224;u_n&#432;&#7899;c_M&#244;_ph&#7887;ng_m&#224;u_n&#432;&#7899;c_AI.jpg" TargetMode="External"/><Relationship Id="rId38" Type="http://schemas.openxmlformats.org/officeDocument/2006/relationships/hyperlink" Target="Artwork_Samples_Real/TC_038_Ngh&#7879;_thu&#7853;t_&#7844;n_&#272;&#7897;_Madhubani___Mithila.jpg" TargetMode="External"/><Relationship Id="rId46" Type="http://schemas.openxmlformats.org/officeDocument/2006/relationships/hyperlink" Target="Artwork_Samples_Real/TC_046_Ngh&#7879;_thu&#7853;t_Th&#7893;_d&#226;n_Ch&#7845;m_Dot_Painting.jpg" TargetMode="External"/><Relationship Id="rId59" Type="http://schemas.openxmlformats.org/officeDocument/2006/relationships/hyperlink" Target="Artwork_Samples_Real/TC_059_M&#7851;u_l&#7863;p___Allover_M&#7851;u_h&#236;nh_h&#7885;c_l&#7863;p.jpg" TargetMode="External"/><Relationship Id="rId67" Type="http://schemas.openxmlformats.org/officeDocument/2006/relationships/hyperlink" Target="Artwork_Samples_Real/TC_067_Edge_Case_M&#224;u_neon___Ngo&#224;i_gamut.jpg" TargetMode="External"/><Relationship Id="rId20" Type="http://schemas.openxmlformats.org/officeDocument/2006/relationships/hyperlink" Target="Artwork_Samples_Real/TC_020_Render_3D_Low_Poly.jpg" TargetMode="External"/><Relationship Id="rId41" Type="http://schemas.openxmlformats.org/officeDocument/2006/relationships/hyperlink" Target="Artwork_Samples_Real/TC_041_Ngh&#7879;_thu&#7853;t_Ch&#226;u_Phi_B&#7897;_l&#7841;c___M&#7851;u_h&#236;nh_h&#7885;c.jpg" TargetMode="External"/><Relationship Id="rId54" Type="http://schemas.openxmlformats.org/officeDocument/2006/relationships/hyperlink" Target="Artwork_Samples_Real/TC_054_&#193;o_&#273;&#7891;_h&#7885;a_Streetwear___&#272;&#244;_th&#7883;.jpg" TargetMode="External"/><Relationship Id="rId62" Type="http://schemas.openxmlformats.org/officeDocument/2006/relationships/hyperlink" Target="Artwork_Samples_Real/TC_062_V&#259;n_h&#243;a_&#273;&#7841;i_ch&#250;ng_Parody___Mashup.jpg" TargetMode="External"/><Relationship Id="rId70" Type="http://schemas.openxmlformats.org/officeDocument/2006/relationships/hyperlink" Target="Artwork_Samples_Real/TC_070_Edge_Case_&#272;&#7897;_ph&#226;n_gi&#7843;i_r&#7845;t_th&#7845;p__72_DPI.jpg" TargetMode="External"/><Relationship Id="rId75" Type="http://schemas.openxmlformats.org/officeDocument/2006/relationships/hyperlink" Target="Artwork_Samples_Real/TC_075_Edge_Case_Nhi&#7873;u_v&#7853;t_th&#7875;_nh&#7887;.jpg" TargetMode="External"/><Relationship Id="rId1" Type="http://schemas.openxmlformats.org/officeDocument/2006/relationships/hyperlink" Target="Artwork_Samples_Real/TC_001_Tranh_s&#417;n_d&#7847;u_Tr&#432;&#7901;ng_ph&#225;i_&#7844;n_t&#432;&#7907;ng.jpg" TargetMode="External"/><Relationship Id="rId6" Type="http://schemas.openxmlformats.org/officeDocument/2006/relationships/hyperlink" Target="Artwork_Samples_Real/TC_006_Tranh_than_ch&#236;_Ch&#226;n_dung.jpg" TargetMode="External"/><Relationship Id="rId15" Type="http://schemas.openxmlformats.org/officeDocument/2006/relationships/hyperlink" Target="Artwork_Samples_Real/TC_015_V&#7869;_k&#7929;_thu&#7853;t_s&#7889;_B&#225;n_th&#7921;c_t&#7871;.jpg" TargetMode="External"/><Relationship Id="rId23" Type="http://schemas.openxmlformats.org/officeDocument/2006/relationships/hyperlink" Target="Artwork_Samples_Real/TC_023_Ngh&#7879;_thu&#7853;t_sinh_t&#7841;o_Thu&#7853;t_to&#225;n___Fractal.jpg" TargetMode="External"/><Relationship Id="rId28" Type="http://schemas.openxmlformats.org/officeDocument/2006/relationships/hyperlink" Target="Artwork_Samples_Real/TC_028_AI_Chibi_Kawaii___Chibi.jpg" TargetMode="External"/><Relationship Id="rId36" Type="http://schemas.openxmlformats.org/officeDocument/2006/relationships/hyperlink" Target="Artwork_Samples_Real/TC_036_Th&#7911;y_m&#7863;c_Trung_Qu&#7889;c_Sumi_e___Shui_mo.jpg" TargetMode="External"/><Relationship Id="rId49" Type="http://schemas.openxmlformats.org/officeDocument/2006/relationships/hyperlink" Target="Artwork_Samples_Real/TC_049_Ngh&#7879;_thu&#7853;t_Ch&#226;u_&#194;u_Phong_c&#225;ch_Ph&#7909;c_H&#432;ng.jpg" TargetMode="External"/><Relationship Id="rId57" Type="http://schemas.openxmlformats.org/officeDocument/2006/relationships/hyperlink" Target="Artwork_Samples_Real/TC_057_Thi&#234;n_nhi&#234;n___Phong_c&#7843;nh_In_phong_c&#7843;nh.jpg" TargetMode="External"/><Relationship Id="rId10" Type="http://schemas.openxmlformats.org/officeDocument/2006/relationships/hyperlink" Target="Artwork_Samples_Real/TC_010_Tranh_kh&#7855;c_Kh&#7855;c_g&#7895;___Lino.jpg" TargetMode="External"/><Relationship Id="rId31" Type="http://schemas.openxmlformats.org/officeDocument/2006/relationships/hyperlink" Target="Artwork_Samples_Real/TC_031_AI_Retro_Retrowave___Synthwave.jpg" TargetMode="External"/><Relationship Id="rId44" Type="http://schemas.openxmlformats.org/officeDocument/2006/relationships/hyperlink" Target="Artwork_Samples_Real/TC_044_Ngh&#7879;_thu&#7853;t_Trung_&#272;&#244;ng_H&#236;nh_h&#7885;c_H&#7891;i_gi&#225;o___Arabesque.jpg" TargetMode="External"/><Relationship Id="rId52" Type="http://schemas.openxmlformats.org/officeDocument/2006/relationships/hyperlink" Target="Artwork_Samples_Real/TC_052_Thi&#7871;t_k&#7871;_Typography_Script_Retro.jpg" TargetMode="External"/><Relationship Id="rId60" Type="http://schemas.openxmlformats.org/officeDocument/2006/relationships/hyperlink" Target="Artwork_Samples_Real/TC_060_M&#7851;u_l&#7863;p___Allover_R&#7857;n_ri___Qu&#226;n_s&#7921;.jpg" TargetMode="External"/><Relationship Id="rId65" Type="http://schemas.openxmlformats.org/officeDocument/2006/relationships/hyperlink" Target="Artwork_Samples_Real/TC_065_Edge_Case_D&#7885;c_si&#234;u_cao.jpg" TargetMode="External"/><Relationship Id="rId73" Type="http://schemas.openxmlformats.org/officeDocument/2006/relationships/hyperlink" Target="Artwork_Samples_Real/TC_073_Edge_Case_Upload_PDF_CMYK.jpg" TargetMode="External"/><Relationship Id="rId4" Type="http://schemas.openxmlformats.org/officeDocument/2006/relationships/hyperlink" Target="Artwork_Samples_Real/TC_004_Tranh_m&#224;u_n&#432;&#7899;c_Minh_h&#7885;a_th&#7921;c_v&#7853;t.jpg" TargetMode="External"/><Relationship Id="rId9" Type="http://schemas.openxmlformats.org/officeDocument/2006/relationships/hyperlink" Target="Artwork_Samples_Real/TC_009_Tranh_ph&#7845;n_m&#224;u_Ph&#7845;n_m&#7873;m.jpg" TargetMode="External"/><Relationship Id="rId13" Type="http://schemas.openxmlformats.org/officeDocument/2006/relationships/hyperlink" Target="Artwork_Samples_Real/TC_013_&#272;&#7891;_h&#7885;a_vector_Thi&#7871;t_k&#7871;_ph&#7859;ng__Flat.jpg" TargetMode="External"/><Relationship Id="rId18" Type="http://schemas.openxmlformats.org/officeDocument/2006/relationships/hyperlink" Target="Artwork_Samples_Real/TC_018_Pixel_Art_Pixel_&#273;&#7897;_ph&#226;n_gi&#7843;i_cao.jpg" TargetMode="External"/><Relationship Id="rId39" Type="http://schemas.openxmlformats.org/officeDocument/2006/relationships/hyperlink" Target="Artwork_Samples_Real/TC_039_Ngh&#7879;_thu&#7853;t_&#7844;n_&#272;&#7897;_Mandala.jpg" TargetMode="External"/><Relationship Id="rId34" Type="http://schemas.openxmlformats.org/officeDocument/2006/relationships/hyperlink" Target="Artwork_Samples_Real/TC_034_AI_Truy&#7879;n_tranh_Comic___Ti&#7875;u_thuy&#7871;t_&#273;&#7891;_h&#7885;a.jpg" TargetMode="External"/><Relationship Id="rId50" Type="http://schemas.openxmlformats.org/officeDocument/2006/relationships/hyperlink" Target="Artwork_Samples_Real/TC_050_Ngh&#7879;_thu&#7853;t_Celtic_N&#250;t_th&#7855;t___&#272;an_xen.jpg" TargetMode="External"/><Relationship Id="rId55" Type="http://schemas.openxmlformats.org/officeDocument/2006/relationships/hyperlink" Target="Artwork_Samples_Real/TC_055_Ngh&#7879;_thu&#7853;t_&#273;&#7897;ng_v&#7853;t_Ch&#226;n_dung_&#273;&#7897;ng_v&#7853;t_th&#7921;c_t&#7871;.jpg" TargetMode="External"/><Relationship Id="rId76" Type="http://schemas.openxmlformats.org/officeDocument/2006/relationships/hyperlink" Target="Artwork_Samples_Real/TC_076_Edge_Case_&#7842;nh_c&#243;_khu&#244;n_m&#7863;t_ng&#432;&#7901;i.jpg" TargetMode="External"/><Relationship Id="rId7" Type="http://schemas.openxmlformats.org/officeDocument/2006/relationships/hyperlink" Target="Artwork_Samples_Real/TC_007_Tranh_m&#7921;c_N&#233;t_v&#7869;__Line_Art.jpg" TargetMode="External"/><Relationship Id="rId71" Type="http://schemas.openxmlformats.org/officeDocument/2006/relationships/hyperlink" Target="Artwork_Samples_Real/TC_071_Edge_Case_Si&#234;u_cao_ph&#226;n_gi&#7843;i__600__DPI.jpg" TargetMode="External"/><Relationship Id="rId2" Type="http://schemas.openxmlformats.org/officeDocument/2006/relationships/hyperlink" Target="Artwork_Samples_Real/TC_002_Tranh_s&#417;n_d&#7847;u_Si&#234;u_th&#7921;c.jpg" TargetMode="External"/><Relationship Id="rId29" Type="http://schemas.openxmlformats.org/officeDocument/2006/relationships/hyperlink" Target="Artwork_Samples_Real/TC_029_AI_Typography_Text_3D___Ch&#7919;_ngh&#7879;_thu&#7853;t.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9"/>
  <sheetViews>
    <sheetView workbookViewId="0"/>
  </sheetViews>
  <sheetFormatPr defaultRowHeight="15" x14ac:dyDescent="0.25"/>
  <cols>
    <col min="2" max="2" width="18" customWidth="1"/>
    <col min="3" max="3" width="80" customWidth="1"/>
  </cols>
  <sheetData>
    <row r="3" spans="2:3" ht="18.75" x14ac:dyDescent="0.3">
      <c r="B3" s="1" t="s">
        <v>0</v>
      </c>
      <c r="C3" s="2" t="s">
        <v>1</v>
      </c>
    </row>
    <row r="4" spans="2:3" ht="18.75" x14ac:dyDescent="0.3">
      <c r="B4" s="1" t="s">
        <v>2</v>
      </c>
      <c r="C4" s="2" t="s">
        <v>3</v>
      </c>
    </row>
    <row r="5" spans="2:3" ht="18.75" x14ac:dyDescent="0.3">
      <c r="B5" s="1" t="s">
        <v>4</v>
      </c>
      <c r="C5" s="2" t="s">
        <v>5</v>
      </c>
    </row>
    <row r="6" spans="2:3" ht="18.75" x14ac:dyDescent="0.3">
      <c r="B6" s="1" t="s">
        <v>6</v>
      </c>
      <c r="C6" s="2" t="s">
        <v>7</v>
      </c>
    </row>
    <row r="7" spans="2:3" ht="18.75" x14ac:dyDescent="0.3">
      <c r="B7" s="1" t="s">
        <v>8</v>
      </c>
      <c r="C7" s="2" t="s">
        <v>9</v>
      </c>
    </row>
    <row r="8" spans="2:3" ht="18.75" x14ac:dyDescent="0.3">
      <c r="B8" s="1" t="s">
        <v>10</v>
      </c>
      <c r="C8" s="2" t="s">
        <v>11</v>
      </c>
    </row>
    <row r="9" spans="2:3" ht="18.75" x14ac:dyDescent="0.3">
      <c r="B9" s="1" t="s">
        <v>12</v>
      </c>
      <c r="C9" s="2"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workbookViewId="0">
      <selection sqref="A1:H1"/>
    </sheetView>
  </sheetViews>
  <sheetFormatPr defaultRowHeight="15" x14ac:dyDescent="0.25"/>
  <cols>
    <col min="1" max="1" width="28" customWidth="1"/>
    <col min="2" max="8" width="14" customWidth="1"/>
  </cols>
  <sheetData>
    <row r="1" spans="1:8" ht="21" x14ac:dyDescent="0.35">
      <c r="A1" s="51" t="s">
        <v>14</v>
      </c>
      <c r="B1" s="52"/>
      <c r="C1" s="52"/>
      <c r="D1" s="52"/>
      <c r="E1" s="52"/>
      <c r="F1" s="52"/>
      <c r="G1" s="52"/>
      <c r="H1" s="52"/>
    </row>
    <row r="3" spans="1:8" x14ac:dyDescent="0.25">
      <c r="A3" s="3" t="s">
        <v>15</v>
      </c>
      <c r="B3" s="3" t="s">
        <v>16</v>
      </c>
      <c r="C3" s="3" t="s">
        <v>17</v>
      </c>
      <c r="D3" s="3" t="s">
        <v>18</v>
      </c>
      <c r="E3" s="3" t="s">
        <v>19</v>
      </c>
      <c r="F3" s="3" t="s">
        <v>20</v>
      </c>
      <c r="G3" s="3" t="s">
        <v>21</v>
      </c>
      <c r="H3" s="3" t="s">
        <v>22</v>
      </c>
    </row>
    <row r="4" spans="1:8" x14ac:dyDescent="0.25">
      <c r="A4" s="4" t="s">
        <v>23</v>
      </c>
      <c r="B4" s="4">
        <v>53</v>
      </c>
      <c r="C4" s="4">
        <f>COUNTIF(HOME!O3:O59,"Pass")</f>
        <v>0</v>
      </c>
      <c r="D4" s="4">
        <f>COUNTIF(HOME!O3:O59,"Fail")</f>
        <v>0</v>
      </c>
      <c r="E4" s="4">
        <f>COUNTIF(HOME!O3:O59,"Untested")</f>
        <v>53</v>
      </c>
      <c r="F4" s="4">
        <f>COUNTIF(HOME!O3:O59,"N/A")</f>
        <v>0</v>
      </c>
      <c r="G4" s="5">
        <f t="shared" ref="G4:G12" si="0">IF(B4=0,0,(B4-E4-F4)/B4)</f>
        <v>0</v>
      </c>
      <c r="H4" s="5">
        <f t="shared" ref="H4:H12" si="1">IF((B4-E4-F4)=0,0,C4/(B4-E4-F4))</f>
        <v>0</v>
      </c>
    </row>
    <row r="5" spans="1:8" x14ac:dyDescent="0.25">
      <c r="A5" s="4" t="s">
        <v>24</v>
      </c>
      <c r="B5" s="4">
        <v>204</v>
      </c>
      <c r="C5" s="4">
        <f>COUNTIF('DESIGN STUDIO'!O3:O209,"Pass")</f>
        <v>0</v>
      </c>
      <c r="D5" s="4">
        <f>COUNTIF('DESIGN STUDIO'!O3:O209,"Fail")</f>
        <v>0</v>
      </c>
      <c r="E5" s="4">
        <f>COUNTIF('DESIGN STUDIO'!O3:O209,"Untested")</f>
        <v>204</v>
      </c>
      <c r="F5" s="4">
        <f>COUNTIF('DESIGN STUDIO'!O3:O209,"N/A")</f>
        <v>0</v>
      </c>
      <c r="G5" s="5">
        <f t="shared" si="0"/>
        <v>0</v>
      </c>
      <c r="H5" s="5">
        <f t="shared" si="1"/>
        <v>0</v>
      </c>
    </row>
    <row r="6" spans="1:8" x14ac:dyDescent="0.25">
      <c r="A6" s="4" t="s">
        <v>25</v>
      </c>
      <c r="B6" s="4">
        <v>38</v>
      </c>
      <c r="C6" s="4">
        <f>COUNTIF('AI GENERATE'!O3:O44,"Pass")</f>
        <v>0</v>
      </c>
      <c r="D6" s="4">
        <f>COUNTIF('AI GENERATE'!O3:O44,"Fail")</f>
        <v>0</v>
      </c>
      <c r="E6" s="4">
        <f>COUNTIF('AI GENERATE'!O3:O44,"Untested")</f>
        <v>38</v>
      </c>
      <c r="F6" s="4">
        <f>COUNTIF('AI GENERATE'!O3:O44,"N/A")</f>
        <v>0</v>
      </c>
      <c r="G6" s="5">
        <f t="shared" si="0"/>
        <v>0</v>
      </c>
      <c r="H6" s="5">
        <f t="shared" si="1"/>
        <v>0</v>
      </c>
    </row>
    <row r="7" spans="1:8" x14ac:dyDescent="0.25">
      <c r="A7" s="4" t="s">
        <v>26</v>
      </c>
      <c r="B7" s="4">
        <v>77</v>
      </c>
      <c r="C7" s="4">
        <f>COUNTIF('ĐẶT HÀNG'!O3:O81,"Pass")</f>
        <v>0</v>
      </c>
      <c r="D7" s="4">
        <f>COUNTIF('ĐẶT HÀNG'!O3:O81,"Fail")</f>
        <v>0</v>
      </c>
      <c r="E7" s="4">
        <f>COUNTIF('ĐẶT HÀNG'!O3:O81,"Untested")</f>
        <v>77</v>
      </c>
      <c r="F7" s="4">
        <f>COUNTIF('ĐẶT HÀNG'!O3:O81,"N/A")</f>
        <v>0</v>
      </c>
      <c r="G7" s="5">
        <f t="shared" si="0"/>
        <v>0</v>
      </c>
      <c r="H7" s="5">
        <f t="shared" si="1"/>
        <v>0</v>
      </c>
    </row>
    <row r="8" spans="1:8" x14ac:dyDescent="0.25">
      <c r="A8" s="4" t="s">
        <v>27</v>
      </c>
      <c r="B8" s="4">
        <v>65</v>
      </c>
      <c r="C8" s="4">
        <f>COUNTIF('THANH TOÁN'!O3:O69,"Pass")</f>
        <v>0</v>
      </c>
      <c r="D8" s="4">
        <f>COUNTIF('THANH TOÁN'!O3:O69,"Fail")</f>
        <v>0</v>
      </c>
      <c r="E8" s="4">
        <f>COUNTIF('THANH TOÁN'!O3:O69,"Untested")</f>
        <v>65</v>
      </c>
      <c r="F8" s="4">
        <f>COUNTIF('THANH TOÁN'!O3:O69,"N/A")</f>
        <v>0</v>
      </c>
      <c r="G8" s="5">
        <f t="shared" si="0"/>
        <v>0</v>
      </c>
      <c r="H8" s="5">
        <f t="shared" si="1"/>
        <v>0</v>
      </c>
    </row>
    <row r="9" spans="1:8" x14ac:dyDescent="0.25">
      <c r="A9" s="4" t="s">
        <v>28</v>
      </c>
      <c r="B9" s="4">
        <v>120</v>
      </c>
      <c r="C9" s="4">
        <f>COUNTIF(LOGIN!O3:O125,"Pass")</f>
        <v>0</v>
      </c>
      <c r="D9" s="4">
        <f>COUNTIF(LOGIN!O3:O125,"Fail")</f>
        <v>0</v>
      </c>
      <c r="E9" s="4">
        <f>COUNTIF(LOGIN!O3:O125,"Untested")</f>
        <v>120</v>
      </c>
      <c r="F9" s="4">
        <f>COUNTIF(LOGIN!O3:O125,"N/A")</f>
        <v>0</v>
      </c>
      <c r="G9" s="5">
        <f t="shared" si="0"/>
        <v>0</v>
      </c>
      <c r="H9" s="5">
        <f t="shared" si="1"/>
        <v>0</v>
      </c>
    </row>
    <row r="10" spans="1:8" x14ac:dyDescent="0.25">
      <c r="A10" s="4" t="s">
        <v>29</v>
      </c>
      <c r="B10" s="4">
        <v>6</v>
      </c>
      <c r="C10" s="4" t="e">
        <f>COUNTIF('[1]E2E FLOW'!O3:O8,"Pass")</f>
        <v>#VALUE!</v>
      </c>
      <c r="D10" s="4" t="e">
        <f>COUNTIF('[1]E2E FLOW'!O3:O8,"Fail")</f>
        <v>#VALUE!</v>
      </c>
      <c r="E10" s="4" t="e">
        <f>COUNTIF('[1]E2E FLOW'!O3:O8,"Untested")</f>
        <v>#VALUE!</v>
      </c>
      <c r="F10" s="4" t="e">
        <f>COUNTIF('[1]E2E FLOW'!O3:O8,"N/A")</f>
        <v>#VALUE!</v>
      </c>
      <c r="G10" s="5" t="e">
        <f t="shared" si="0"/>
        <v>#VALUE!</v>
      </c>
      <c r="H10" s="5" t="e">
        <f t="shared" si="1"/>
        <v>#VALUE!</v>
      </c>
    </row>
    <row r="11" spans="1:8" x14ac:dyDescent="0.25">
      <c r="A11" s="4" t="s">
        <v>30</v>
      </c>
      <c r="B11" s="4">
        <v>25</v>
      </c>
      <c r="C11" s="4">
        <f>COUNTIF('MY ORDERS'!O3:O29,"Pass")</f>
        <v>0</v>
      </c>
      <c r="D11" s="4">
        <f>COUNTIF('MY ORDERS'!O3:O29,"Fail")</f>
        <v>0</v>
      </c>
      <c r="E11" s="4">
        <f>COUNTIF('MY ORDERS'!O3:O29,"Untested")</f>
        <v>25</v>
      </c>
      <c r="F11" s="4">
        <f>COUNTIF('MY ORDERS'!O3:O29,"N/A")</f>
        <v>0</v>
      </c>
      <c r="G11" s="5">
        <f t="shared" si="0"/>
        <v>0</v>
      </c>
      <c r="H11" s="5">
        <f t="shared" si="1"/>
        <v>0</v>
      </c>
    </row>
    <row r="12" spans="1:8" x14ac:dyDescent="0.25">
      <c r="A12" s="4" t="s">
        <v>31</v>
      </c>
      <c r="B12" s="4">
        <v>10</v>
      </c>
      <c r="C12" s="4">
        <f>COUNTIF('POLICY PAGES'!O3:O14,"Pass")</f>
        <v>0</v>
      </c>
      <c r="D12" s="4">
        <f>COUNTIF('POLICY PAGES'!O3:O14,"Fail")</f>
        <v>0</v>
      </c>
      <c r="E12" s="4">
        <f>COUNTIF('POLICY PAGES'!O3:O14,"Untested")</f>
        <v>10</v>
      </c>
      <c r="F12" s="4">
        <f>COUNTIF('POLICY PAGES'!O3:O14,"N/A")</f>
        <v>0</v>
      </c>
      <c r="G12" s="5">
        <f t="shared" si="0"/>
        <v>0</v>
      </c>
      <c r="H12" s="5">
        <f t="shared" si="1"/>
        <v>0</v>
      </c>
    </row>
    <row r="13" spans="1:8" x14ac:dyDescent="0.25">
      <c r="A13" s="6" t="s">
        <v>32</v>
      </c>
      <c r="B13" s="6">
        <f>SUM(B4:B12)</f>
        <v>598</v>
      </c>
      <c r="C13" s="6" t="e">
        <f>SUM(C4:C12)</f>
        <v>#VALUE!</v>
      </c>
      <c r="D13" s="6" t="e">
        <f>SUM(D4:D12)</f>
        <v>#VALUE!</v>
      </c>
      <c r="E13" s="6" t="e">
        <f>SUM(E4:E12)</f>
        <v>#VALUE!</v>
      </c>
      <c r="F13" s="6" t="e">
        <f>SUM(F4:F12)</f>
        <v>#VALUE!</v>
      </c>
      <c r="G13" s="7"/>
      <c r="H13" s="7"/>
    </row>
  </sheetData>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59"/>
  <sheetViews>
    <sheetView workbookViewId="0">
      <pane ySplit="1" topLeftCell="A2" activePane="bottomLeft" state="frozen"/>
      <selection pane="bottomLeft"/>
    </sheetView>
  </sheetViews>
  <sheetFormatPr defaultRowHeight="15" x14ac:dyDescent="0.25"/>
  <cols>
    <col min="1" max="1" width="16" customWidth="1"/>
    <col min="2" max="2" width="22" customWidth="1"/>
    <col min="3" max="3" width="12" customWidth="1"/>
    <col min="4" max="4" width="22" customWidth="1"/>
    <col min="5" max="5" width="35" customWidth="1"/>
    <col min="6" max="6" width="14" customWidth="1"/>
    <col min="7" max="7" width="10" customWidth="1"/>
    <col min="8" max="8" width="30" customWidth="1"/>
    <col min="9" max="9" width="45" customWidth="1"/>
    <col min="10" max="11" width="40" customWidth="1"/>
    <col min="12" max="12" width="12" customWidth="1"/>
    <col min="13" max="14" width="14" customWidth="1"/>
    <col min="15" max="15" width="10" customWidth="1"/>
    <col min="16" max="16" width="12" customWidth="1"/>
    <col min="17" max="17" width="10" customWidth="1"/>
    <col min="18" max="18" width="14" customWidth="1"/>
    <col min="19" max="19" width="35" customWidth="1"/>
    <col min="20" max="20" width="10" customWidth="1"/>
    <col min="21" max="21" width="12" customWidth="1"/>
    <col min="22" max="22" width="10" customWidth="1"/>
    <col min="23" max="23" width="14" customWidth="1"/>
    <col min="24" max="24" width="35" customWidth="1"/>
    <col min="25" max="25" width="30" customWidth="1"/>
    <col min="26" max="26" width="15" customWidth="1"/>
    <col min="27" max="27" width="35" customWidth="1"/>
  </cols>
  <sheetData>
    <row r="1" spans="1:27" ht="30" customHeight="1" x14ac:dyDescent="0.25">
      <c r="A1" s="8" t="s">
        <v>33</v>
      </c>
      <c r="B1" s="9" t="s">
        <v>34</v>
      </c>
      <c r="C1" s="8" t="s">
        <v>35</v>
      </c>
      <c r="D1" s="8" t="s">
        <v>36</v>
      </c>
      <c r="E1" s="8" t="s">
        <v>37</v>
      </c>
      <c r="F1" s="8" t="s">
        <v>38</v>
      </c>
      <c r="G1" s="8" t="s">
        <v>39</v>
      </c>
      <c r="H1" s="8" t="s">
        <v>40</v>
      </c>
      <c r="I1" s="8" t="s">
        <v>41</v>
      </c>
      <c r="J1" s="8" t="s">
        <v>42</v>
      </c>
      <c r="K1" s="8" t="s">
        <v>43</v>
      </c>
      <c r="L1" s="8" t="s">
        <v>44</v>
      </c>
      <c r="M1" s="8" t="s">
        <v>45</v>
      </c>
      <c r="N1" s="8" t="s">
        <v>46</v>
      </c>
      <c r="O1" s="8" t="s">
        <v>47</v>
      </c>
      <c r="P1" s="8" t="s">
        <v>48</v>
      </c>
      <c r="Q1" s="8" t="s">
        <v>49</v>
      </c>
      <c r="R1" s="8" t="s">
        <v>50</v>
      </c>
      <c r="S1" s="8" t="s">
        <v>51</v>
      </c>
      <c r="T1" s="8" t="s">
        <v>52</v>
      </c>
      <c r="U1" s="8" t="s">
        <v>53</v>
      </c>
      <c r="V1" s="8" t="s">
        <v>54</v>
      </c>
      <c r="W1" s="8" t="s">
        <v>55</v>
      </c>
      <c r="X1" s="8" t="s">
        <v>56</v>
      </c>
      <c r="Y1" s="8" t="s">
        <v>57</v>
      </c>
      <c r="Z1" s="8" t="s">
        <v>58</v>
      </c>
      <c r="AA1" s="10" t="s">
        <v>59</v>
      </c>
    </row>
    <row r="2" spans="1:27" ht="15.75" x14ac:dyDescent="0.25">
      <c r="A2" s="53" t="s">
        <v>60</v>
      </c>
      <c r="B2" s="54"/>
      <c r="C2" s="54"/>
      <c r="D2" s="54"/>
      <c r="E2" s="54"/>
      <c r="F2" s="54"/>
      <c r="G2" s="54"/>
      <c r="H2" s="54"/>
      <c r="I2" s="54"/>
      <c r="J2" s="54"/>
      <c r="K2" s="54"/>
      <c r="L2" s="54"/>
      <c r="M2" s="54"/>
      <c r="N2" s="54"/>
      <c r="O2" s="54"/>
      <c r="P2" s="54"/>
      <c r="Q2" s="54"/>
      <c r="R2" s="54"/>
      <c r="S2" s="54"/>
      <c r="T2" s="54"/>
      <c r="U2" s="54"/>
      <c r="V2" s="54"/>
      <c r="W2" s="54"/>
      <c r="X2" s="54"/>
      <c r="Y2" s="54"/>
      <c r="Z2" s="54"/>
      <c r="AA2" s="55"/>
    </row>
    <row r="3" spans="1:27" ht="45" x14ac:dyDescent="0.25">
      <c r="A3" s="11" t="s">
        <v>61</v>
      </c>
      <c r="B3" s="12" t="s">
        <v>62</v>
      </c>
      <c r="C3" s="11" t="s">
        <v>63</v>
      </c>
      <c r="D3" s="11" t="s">
        <v>64</v>
      </c>
      <c r="E3" s="11" t="s">
        <v>65</v>
      </c>
      <c r="F3" s="11" t="s">
        <v>66</v>
      </c>
      <c r="G3" s="11" t="s">
        <v>67</v>
      </c>
      <c r="H3" s="11"/>
      <c r="I3" s="11" t="s">
        <v>68</v>
      </c>
      <c r="J3" s="11" t="s">
        <v>69</v>
      </c>
      <c r="K3" s="11"/>
      <c r="L3" s="11" t="s">
        <v>70</v>
      </c>
      <c r="M3" s="11" t="s">
        <v>71</v>
      </c>
      <c r="N3" s="11" t="s">
        <v>72</v>
      </c>
      <c r="O3" s="11" t="s">
        <v>19</v>
      </c>
      <c r="P3" s="13"/>
      <c r="Q3" s="13"/>
      <c r="R3" s="13"/>
      <c r="S3" s="13"/>
      <c r="T3" s="11" t="s">
        <v>19</v>
      </c>
      <c r="U3" s="13"/>
      <c r="V3" s="13"/>
      <c r="W3" s="13"/>
      <c r="X3" s="13"/>
      <c r="Y3" s="13"/>
      <c r="Z3" s="13"/>
      <c r="AA3" s="13"/>
    </row>
    <row r="4" spans="1:27" ht="75" x14ac:dyDescent="0.25">
      <c r="A4" s="11" t="s">
        <v>73</v>
      </c>
      <c r="B4" s="12" t="s">
        <v>62</v>
      </c>
      <c r="C4" s="11" t="s">
        <v>63</v>
      </c>
      <c r="D4" s="11" t="s">
        <v>64</v>
      </c>
      <c r="E4" s="11" t="s">
        <v>74</v>
      </c>
      <c r="F4" s="11" t="s">
        <v>66</v>
      </c>
      <c r="G4" s="11" t="s">
        <v>75</v>
      </c>
      <c r="H4" s="11"/>
      <c r="I4" s="11" t="s">
        <v>76</v>
      </c>
      <c r="J4" s="11" t="s">
        <v>77</v>
      </c>
      <c r="K4" s="11"/>
      <c r="L4" s="11" t="s">
        <v>70</v>
      </c>
      <c r="M4" s="11" t="s">
        <v>71</v>
      </c>
      <c r="N4" s="11" t="s">
        <v>72</v>
      </c>
      <c r="O4" s="11" t="s">
        <v>19</v>
      </c>
      <c r="P4" s="13"/>
      <c r="Q4" s="13"/>
      <c r="R4" s="13"/>
      <c r="S4" s="13"/>
      <c r="T4" s="11" t="s">
        <v>19</v>
      </c>
      <c r="U4" s="13"/>
      <c r="V4" s="13"/>
      <c r="W4" s="13"/>
      <c r="X4" s="13"/>
      <c r="Y4" s="13"/>
      <c r="Z4" s="13"/>
      <c r="AA4" s="13"/>
    </row>
    <row r="5" spans="1:27" ht="90" x14ac:dyDescent="0.25">
      <c r="A5" s="11" t="s">
        <v>78</v>
      </c>
      <c r="B5" s="12" t="s">
        <v>62</v>
      </c>
      <c r="C5" s="11" t="s">
        <v>63</v>
      </c>
      <c r="D5" s="11" t="s">
        <v>64</v>
      </c>
      <c r="E5" s="11" t="s">
        <v>79</v>
      </c>
      <c r="F5" s="11" t="s">
        <v>66</v>
      </c>
      <c r="G5" s="11" t="s">
        <v>75</v>
      </c>
      <c r="H5" s="11"/>
      <c r="I5" s="11" t="s">
        <v>80</v>
      </c>
      <c r="J5" s="11" t="s">
        <v>81</v>
      </c>
      <c r="K5" s="11"/>
      <c r="L5" s="11" t="s">
        <v>70</v>
      </c>
      <c r="M5" s="11" t="s">
        <v>71</v>
      </c>
      <c r="N5" s="11" t="s">
        <v>72</v>
      </c>
      <c r="O5" s="11" t="s">
        <v>19</v>
      </c>
      <c r="P5" s="13"/>
      <c r="Q5" s="13"/>
      <c r="R5" s="13"/>
      <c r="S5" s="13"/>
      <c r="T5" s="11" t="s">
        <v>19</v>
      </c>
      <c r="U5" s="13"/>
      <c r="V5" s="13"/>
      <c r="W5" s="13"/>
      <c r="X5" s="13"/>
      <c r="Y5" s="13"/>
      <c r="Z5" s="13"/>
      <c r="AA5" s="13"/>
    </row>
    <row r="6" spans="1:27" ht="60" x14ac:dyDescent="0.25">
      <c r="A6" s="11" t="s">
        <v>82</v>
      </c>
      <c r="B6" s="12" t="s">
        <v>62</v>
      </c>
      <c r="C6" s="11" t="s">
        <v>63</v>
      </c>
      <c r="D6" s="11" t="s">
        <v>64</v>
      </c>
      <c r="E6" s="11" t="s">
        <v>83</v>
      </c>
      <c r="F6" s="11" t="s">
        <v>66</v>
      </c>
      <c r="G6" s="11" t="s">
        <v>75</v>
      </c>
      <c r="H6" s="11"/>
      <c r="I6" s="11" t="s">
        <v>84</v>
      </c>
      <c r="J6" s="11" t="s">
        <v>85</v>
      </c>
      <c r="K6" s="11"/>
      <c r="L6" s="11" t="s">
        <v>70</v>
      </c>
      <c r="M6" s="11" t="s">
        <v>71</v>
      </c>
      <c r="N6" s="11" t="s">
        <v>72</v>
      </c>
      <c r="O6" s="11" t="s">
        <v>19</v>
      </c>
      <c r="P6" s="13"/>
      <c r="Q6" s="13"/>
      <c r="R6" s="13"/>
      <c r="S6" s="13"/>
      <c r="T6" s="11" t="s">
        <v>19</v>
      </c>
      <c r="U6" s="13"/>
      <c r="V6" s="13"/>
      <c r="W6" s="13"/>
      <c r="X6" s="13"/>
      <c r="Y6" s="13"/>
      <c r="Z6" s="13"/>
      <c r="AA6" s="13"/>
    </row>
    <row r="7" spans="1:27" ht="60" x14ac:dyDescent="0.25">
      <c r="A7" s="11" t="s">
        <v>86</v>
      </c>
      <c r="B7" s="12" t="s">
        <v>62</v>
      </c>
      <c r="C7" s="11" t="s">
        <v>63</v>
      </c>
      <c r="D7" s="11" t="s">
        <v>64</v>
      </c>
      <c r="E7" s="11" t="s">
        <v>87</v>
      </c>
      <c r="F7" s="11" t="s">
        <v>66</v>
      </c>
      <c r="G7" s="11" t="s">
        <v>75</v>
      </c>
      <c r="H7" s="11"/>
      <c r="I7" s="11" t="s">
        <v>88</v>
      </c>
      <c r="J7" s="11" t="s">
        <v>89</v>
      </c>
      <c r="K7" s="11"/>
      <c r="L7" s="11" t="s">
        <v>70</v>
      </c>
      <c r="M7" s="11" t="s">
        <v>71</v>
      </c>
      <c r="N7" s="11" t="s">
        <v>72</v>
      </c>
      <c r="O7" s="11" t="s">
        <v>19</v>
      </c>
      <c r="P7" s="13"/>
      <c r="Q7" s="13"/>
      <c r="R7" s="13"/>
      <c r="S7" s="13"/>
      <c r="T7" s="11" t="s">
        <v>19</v>
      </c>
      <c r="U7" s="13"/>
      <c r="V7" s="13"/>
      <c r="W7" s="13"/>
      <c r="X7" s="13"/>
      <c r="Y7" s="13"/>
      <c r="Z7" s="13"/>
      <c r="AA7" s="13"/>
    </row>
    <row r="8" spans="1:27" ht="45" x14ac:dyDescent="0.25">
      <c r="A8" s="11" t="s">
        <v>90</v>
      </c>
      <c r="B8" s="12" t="s">
        <v>62</v>
      </c>
      <c r="C8" s="11" t="s">
        <v>91</v>
      </c>
      <c r="D8" s="11" t="s">
        <v>92</v>
      </c>
      <c r="E8" s="11" t="s">
        <v>93</v>
      </c>
      <c r="F8" s="11" t="s">
        <v>66</v>
      </c>
      <c r="G8" s="11" t="s">
        <v>94</v>
      </c>
      <c r="H8" s="11"/>
      <c r="I8" s="11" t="s">
        <v>95</v>
      </c>
      <c r="J8" s="11" t="s">
        <v>96</v>
      </c>
      <c r="K8" s="11"/>
      <c r="L8" s="11" t="s">
        <v>70</v>
      </c>
      <c r="M8" s="11" t="s">
        <v>71</v>
      </c>
      <c r="N8" s="11" t="s">
        <v>72</v>
      </c>
      <c r="O8" s="11" t="s">
        <v>19</v>
      </c>
      <c r="P8" s="13"/>
      <c r="Q8" s="13"/>
      <c r="R8" s="13"/>
      <c r="S8" s="13"/>
      <c r="T8" s="11" t="s">
        <v>19</v>
      </c>
      <c r="U8" s="13"/>
      <c r="V8" s="13"/>
      <c r="W8" s="13"/>
      <c r="X8" s="13"/>
      <c r="Y8" s="13"/>
      <c r="Z8" s="13"/>
      <c r="AA8" s="13"/>
    </row>
    <row r="9" spans="1:27" ht="60" x14ac:dyDescent="0.25">
      <c r="A9" s="11" t="s">
        <v>97</v>
      </c>
      <c r="B9" s="12" t="s">
        <v>62</v>
      </c>
      <c r="C9" s="11" t="s">
        <v>91</v>
      </c>
      <c r="D9" s="11" t="s">
        <v>92</v>
      </c>
      <c r="E9" s="11" t="s">
        <v>98</v>
      </c>
      <c r="F9" s="11" t="s">
        <v>66</v>
      </c>
      <c r="G9" s="11" t="s">
        <v>94</v>
      </c>
      <c r="H9" s="11"/>
      <c r="I9" s="11" t="s">
        <v>99</v>
      </c>
      <c r="J9" s="11" t="s">
        <v>100</v>
      </c>
      <c r="K9" s="11"/>
      <c r="L9" s="11" t="s">
        <v>70</v>
      </c>
      <c r="M9" s="11" t="s">
        <v>71</v>
      </c>
      <c r="N9" s="11" t="s">
        <v>72</v>
      </c>
      <c r="O9" s="11" t="s">
        <v>19</v>
      </c>
      <c r="P9" s="13"/>
      <c r="Q9" s="13"/>
      <c r="R9" s="13"/>
      <c r="S9" s="13"/>
      <c r="T9" s="11" t="s">
        <v>19</v>
      </c>
      <c r="U9" s="13"/>
      <c r="V9" s="13"/>
      <c r="W9" s="13"/>
      <c r="X9" s="13"/>
      <c r="Y9" s="13"/>
      <c r="Z9" s="13"/>
      <c r="AA9" s="13"/>
    </row>
    <row r="10" spans="1:27" ht="45" x14ac:dyDescent="0.25">
      <c r="A10" s="11" t="s">
        <v>101</v>
      </c>
      <c r="B10" s="12" t="s">
        <v>62</v>
      </c>
      <c r="C10" s="11" t="s">
        <v>102</v>
      </c>
      <c r="D10" s="11" t="s">
        <v>103</v>
      </c>
      <c r="E10" s="11" t="s">
        <v>104</v>
      </c>
      <c r="F10" s="11" t="s">
        <v>66</v>
      </c>
      <c r="G10" s="11" t="s">
        <v>67</v>
      </c>
      <c r="H10" s="11"/>
      <c r="I10" s="11" t="s">
        <v>105</v>
      </c>
      <c r="J10" s="11" t="s">
        <v>106</v>
      </c>
      <c r="K10" s="11"/>
      <c r="L10" s="11" t="s">
        <v>70</v>
      </c>
      <c r="M10" s="11" t="s">
        <v>71</v>
      </c>
      <c r="N10" s="11" t="s">
        <v>72</v>
      </c>
      <c r="O10" s="11" t="s">
        <v>19</v>
      </c>
      <c r="P10" s="13"/>
      <c r="Q10" s="13"/>
      <c r="R10" s="13"/>
      <c r="S10" s="13"/>
      <c r="T10" s="11" t="s">
        <v>19</v>
      </c>
      <c r="U10" s="13"/>
      <c r="V10" s="13"/>
      <c r="W10" s="13"/>
      <c r="X10" s="13"/>
      <c r="Y10" s="13"/>
      <c r="Z10" s="13"/>
      <c r="AA10" s="13"/>
    </row>
    <row r="11" spans="1:27" ht="45" x14ac:dyDescent="0.25">
      <c r="A11" s="11" t="s">
        <v>107</v>
      </c>
      <c r="B11" s="12" t="s">
        <v>62</v>
      </c>
      <c r="C11" s="11" t="s">
        <v>102</v>
      </c>
      <c r="D11" s="11" t="s">
        <v>103</v>
      </c>
      <c r="E11" s="11" t="s">
        <v>108</v>
      </c>
      <c r="F11" s="11" t="s">
        <v>66</v>
      </c>
      <c r="G11" s="11" t="s">
        <v>94</v>
      </c>
      <c r="H11" s="11"/>
      <c r="I11" s="11" t="s">
        <v>109</v>
      </c>
      <c r="J11" s="11" t="s">
        <v>110</v>
      </c>
      <c r="K11" s="11"/>
      <c r="L11" s="11" t="s">
        <v>70</v>
      </c>
      <c r="M11" s="11" t="s">
        <v>71</v>
      </c>
      <c r="N11" s="11" t="s">
        <v>72</v>
      </c>
      <c r="O11" s="11" t="s">
        <v>19</v>
      </c>
      <c r="P11" s="13"/>
      <c r="Q11" s="13"/>
      <c r="R11" s="13"/>
      <c r="S11" s="13"/>
      <c r="T11" s="11" t="s">
        <v>19</v>
      </c>
      <c r="U11" s="13"/>
      <c r="V11" s="13"/>
      <c r="W11" s="13"/>
      <c r="X11" s="13"/>
      <c r="Y11" s="13"/>
      <c r="Z11" s="13"/>
      <c r="AA11" s="13"/>
    </row>
    <row r="12" spans="1:27" ht="60" x14ac:dyDescent="0.25">
      <c r="A12" s="11" t="s">
        <v>111</v>
      </c>
      <c r="B12" s="12" t="s">
        <v>62</v>
      </c>
      <c r="C12" s="11" t="s">
        <v>102</v>
      </c>
      <c r="D12" s="11" t="s">
        <v>103</v>
      </c>
      <c r="E12" s="11" t="s">
        <v>112</v>
      </c>
      <c r="F12" s="11" t="s">
        <v>66</v>
      </c>
      <c r="G12" s="11" t="s">
        <v>94</v>
      </c>
      <c r="H12" s="11"/>
      <c r="I12" s="11" t="s">
        <v>113</v>
      </c>
      <c r="J12" s="11" t="s">
        <v>114</v>
      </c>
      <c r="K12" s="11"/>
      <c r="L12" s="11" t="s">
        <v>70</v>
      </c>
      <c r="M12" s="11" t="s">
        <v>71</v>
      </c>
      <c r="N12" s="11" t="s">
        <v>72</v>
      </c>
      <c r="O12" s="11" t="s">
        <v>19</v>
      </c>
      <c r="P12" s="13"/>
      <c r="Q12" s="13"/>
      <c r="R12" s="13"/>
      <c r="S12" s="13"/>
      <c r="T12" s="11" t="s">
        <v>19</v>
      </c>
      <c r="U12" s="13"/>
      <c r="V12" s="13"/>
      <c r="W12" s="13"/>
      <c r="X12" s="13"/>
      <c r="Y12" s="13"/>
      <c r="Z12" s="13"/>
      <c r="AA12" s="13"/>
    </row>
    <row r="13" spans="1:27" ht="45" x14ac:dyDescent="0.25">
      <c r="A13" s="11" t="s">
        <v>115</v>
      </c>
      <c r="B13" s="12" t="s">
        <v>62</v>
      </c>
      <c r="C13" s="11" t="s">
        <v>102</v>
      </c>
      <c r="D13" s="11" t="s">
        <v>103</v>
      </c>
      <c r="E13" s="11" t="s">
        <v>116</v>
      </c>
      <c r="F13" s="11" t="s">
        <v>66</v>
      </c>
      <c r="G13" s="11" t="s">
        <v>94</v>
      </c>
      <c r="H13" s="11"/>
      <c r="I13" s="11" t="s">
        <v>117</v>
      </c>
      <c r="J13" s="11" t="s">
        <v>118</v>
      </c>
      <c r="K13" s="11"/>
      <c r="L13" s="11" t="s">
        <v>70</v>
      </c>
      <c r="M13" s="11" t="s">
        <v>71</v>
      </c>
      <c r="N13" s="11" t="s">
        <v>72</v>
      </c>
      <c r="O13" s="11" t="s">
        <v>19</v>
      </c>
      <c r="P13" s="13"/>
      <c r="Q13" s="13"/>
      <c r="R13" s="13"/>
      <c r="S13" s="13"/>
      <c r="T13" s="11" t="s">
        <v>19</v>
      </c>
      <c r="U13" s="13"/>
      <c r="V13" s="13"/>
      <c r="W13" s="13"/>
      <c r="X13" s="13"/>
      <c r="Y13" s="13"/>
      <c r="Z13" s="13"/>
      <c r="AA13" s="13"/>
    </row>
    <row r="14" spans="1:27" ht="60" x14ac:dyDescent="0.25">
      <c r="A14" s="11" t="s">
        <v>119</v>
      </c>
      <c r="B14" s="12" t="s">
        <v>62</v>
      </c>
      <c r="C14" s="11" t="s">
        <v>120</v>
      </c>
      <c r="D14" s="11" t="s">
        <v>121</v>
      </c>
      <c r="E14" s="11" t="s">
        <v>122</v>
      </c>
      <c r="F14" s="11" t="s">
        <v>66</v>
      </c>
      <c r="G14" s="11" t="s">
        <v>67</v>
      </c>
      <c r="H14" s="11"/>
      <c r="I14" s="11" t="s">
        <v>123</v>
      </c>
      <c r="J14" s="11" t="s">
        <v>124</v>
      </c>
      <c r="K14" s="11"/>
      <c r="L14" s="11" t="s">
        <v>70</v>
      </c>
      <c r="M14" s="11" t="s">
        <v>71</v>
      </c>
      <c r="N14" s="11" t="s">
        <v>72</v>
      </c>
      <c r="O14" s="11" t="s">
        <v>19</v>
      </c>
      <c r="P14" s="13"/>
      <c r="Q14" s="13"/>
      <c r="R14" s="13"/>
      <c r="S14" s="13"/>
      <c r="T14" s="11" t="s">
        <v>19</v>
      </c>
      <c r="U14" s="13"/>
      <c r="V14" s="13"/>
      <c r="W14" s="13"/>
      <c r="X14" s="13"/>
      <c r="Y14" s="13"/>
      <c r="Z14" s="13"/>
      <c r="AA14" s="13"/>
    </row>
    <row r="15" spans="1:27" ht="45" x14ac:dyDescent="0.25">
      <c r="A15" s="11" t="s">
        <v>125</v>
      </c>
      <c r="B15" s="12" t="s">
        <v>62</v>
      </c>
      <c r="C15" s="11" t="s">
        <v>120</v>
      </c>
      <c r="D15" s="11" t="s">
        <v>121</v>
      </c>
      <c r="E15" s="11" t="s">
        <v>126</v>
      </c>
      <c r="F15" s="11" t="s">
        <v>66</v>
      </c>
      <c r="G15" s="11" t="s">
        <v>75</v>
      </c>
      <c r="H15" s="11"/>
      <c r="I15" s="11" t="s">
        <v>127</v>
      </c>
      <c r="J15" s="11" t="s">
        <v>128</v>
      </c>
      <c r="K15" s="11"/>
      <c r="L15" s="11" t="s">
        <v>70</v>
      </c>
      <c r="M15" s="11" t="s">
        <v>71</v>
      </c>
      <c r="N15" s="11" t="s">
        <v>72</v>
      </c>
      <c r="O15" s="11" t="s">
        <v>19</v>
      </c>
      <c r="P15" s="13"/>
      <c r="Q15" s="13"/>
      <c r="R15" s="13"/>
      <c r="S15" s="13"/>
      <c r="T15" s="11" t="s">
        <v>19</v>
      </c>
      <c r="U15" s="13"/>
      <c r="V15" s="13"/>
      <c r="W15" s="13"/>
      <c r="X15" s="13"/>
      <c r="Y15" s="13"/>
      <c r="Z15" s="13"/>
      <c r="AA15" s="13"/>
    </row>
    <row r="16" spans="1:27" ht="75" x14ac:dyDescent="0.25">
      <c r="A16" s="11" t="s">
        <v>129</v>
      </c>
      <c r="B16" s="12" t="s">
        <v>62</v>
      </c>
      <c r="C16" s="11" t="s">
        <v>120</v>
      </c>
      <c r="D16" s="11" t="s">
        <v>121</v>
      </c>
      <c r="E16" s="11" t="s">
        <v>130</v>
      </c>
      <c r="F16" s="11" t="s">
        <v>66</v>
      </c>
      <c r="G16" s="11" t="s">
        <v>75</v>
      </c>
      <c r="H16" s="11"/>
      <c r="I16" s="11" t="s">
        <v>131</v>
      </c>
      <c r="J16" s="11" t="s">
        <v>132</v>
      </c>
      <c r="K16" s="11"/>
      <c r="L16" s="11" t="s">
        <v>70</v>
      </c>
      <c r="M16" s="11" t="s">
        <v>71</v>
      </c>
      <c r="N16" s="11" t="s">
        <v>72</v>
      </c>
      <c r="O16" s="11" t="s">
        <v>19</v>
      </c>
      <c r="P16" s="13"/>
      <c r="Q16" s="13"/>
      <c r="R16" s="13"/>
      <c r="S16" s="13"/>
      <c r="T16" s="11" t="s">
        <v>19</v>
      </c>
      <c r="U16" s="13"/>
      <c r="V16" s="13"/>
      <c r="W16" s="13"/>
      <c r="X16" s="13"/>
      <c r="Y16" s="13"/>
      <c r="Z16" s="13"/>
      <c r="AA16" s="13"/>
    </row>
    <row r="17" spans="1:27" ht="45" x14ac:dyDescent="0.25">
      <c r="A17" s="11" t="s">
        <v>133</v>
      </c>
      <c r="B17" s="12" t="s">
        <v>62</v>
      </c>
      <c r="C17" s="11" t="s">
        <v>120</v>
      </c>
      <c r="D17" s="11" t="s">
        <v>121</v>
      </c>
      <c r="E17" s="11" t="s">
        <v>134</v>
      </c>
      <c r="F17" s="11" t="s">
        <v>66</v>
      </c>
      <c r="G17" s="11" t="s">
        <v>75</v>
      </c>
      <c r="H17" s="11"/>
      <c r="I17" s="11" t="s">
        <v>135</v>
      </c>
      <c r="J17" s="11" t="s">
        <v>136</v>
      </c>
      <c r="K17" s="11"/>
      <c r="L17" s="11" t="s">
        <v>70</v>
      </c>
      <c r="M17" s="11" t="s">
        <v>71</v>
      </c>
      <c r="N17" s="11" t="s">
        <v>72</v>
      </c>
      <c r="O17" s="11" t="s">
        <v>19</v>
      </c>
      <c r="P17" s="13"/>
      <c r="Q17" s="13"/>
      <c r="R17" s="13"/>
      <c r="S17" s="13"/>
      <c r="T17" s="11" t="s">
        <v>19</v>
      </c>
      <c r="U17" s="13"/>
      <c r="V17" s="13"/>
      <c r="W17" s="13"/>
      <c r="X17" s="13"/>
      <c r="Y17" s="13"/>
      <c r="Z17" s="13"/>
      <c r="AA17" s="13"/>
    </row>
    <row r="18" spans="1:27" ht="45" x14ac:dyDescent="0.25">
      <c r="A18" s="11" t="s">
        <v>137</v>
      </c>
      <c r="B18" s="12" t="s">
        <v>62</v>
      </c>
      <c r="C18" s="11" t="s">
        <v>120</v>
      </c>
      <c r="D18" s="11" t="s">
        <v>121</v>
      </c>
      <c r="E18" s="11" t="s">
        <v>138</v>
      </c>
      <c r="F18" s="11" t="s">
        <v>66</v>
      </c>
      <c r="G18" s="11" t="s">
        <v>94</v>
      </c>
      <c r="H18" s="11"/>
      <c r="I18" s="11" t="s">
        <v>139</v>
      </c>
      <c r="J18" s="11" t="s">
        <v>140</v>
      </c>
      <c r="K18" s="11"/>
      <c r="L18" s="11" t="s">
        <v>70</v>
      </c>
      <c r="M18" s="11" t="s">
        <v>71</v>
      </c>
      <c r="N18" s="11" t="s">
        <v>72</v>
      </c>
      <c r="O18" s="11" t="s">
        <v>19</v>
      </c>
      <c r="P18" s="13"/>
      <c r="Q18" s="13"/>
      <c r="R18" s="13"/>
      <c r="S18" s="13"/>
      <c r="T18" s="11" t="s">
        <v>19</v>
      </c>
      <c r="U18" s="13"/>
      <c r="V18" s="13"/>
      <c r="W18" s="13"/>
      <c r="X18" s="13"/>
      <c r="Y18" s="13"/>
      <c r="Z18" s="13"/>
      <c r="AA18" s="13"/>
    </row>
    <row r="19" spans="1:27" ht="45" x14ac:dyDescent="0.25">
      <c r="A19" s="11" t="s">
        <v>141</v>
      </c>
      <c r="B19" s="12" t="s">
        <v>62</v>
      </c>
      <c r="C19" s="11" t="s">
        <v>120</v>
      </c>
      <c r="D19" s="11" t="s">
        <v>121</v>
      </c>
      <c r="E19" s="11" t="s">
        <v>142</v>
      </c>
      <c r="F19" s="11" t="s">
        <v>66</v>
      </c>
      <c r="G19" s="11" t="s">
        <v>94</v>
      </c>
      <c r="H19" s="11"/>
      <c r="I19" s="11" t="s">
        <v>143</v>
      </c>
      <c r="J19" s="11" t="s">
        <v>144</v>
      </c>
      <c r="K19" s="11"/>
      <c r="L19" s="11" t="s">
        <v>70</v>
      </c>
      <c r="M19" s="11" t="s">
        <v>71</v>
      </c>
      <c r="N19" s="11" t="s">
        <v>72</v>
      </c>
      <c r="O19" s="11" t="s">
        <v>19</v>
      </c>
      <c r="P19" s="13"/>
      <c r="Q19" s="13"/>
      <c r="R19" s="13"/>
      <c r="S19" s="13"/>
      <c r="T19" s="11" t="s">
        <v>19</v>
      </c>
      <c r="U19" s="13"/>
      <c r="V19" s="13"/>
      <c r="W19" s="13"/>
      <c r="X19" s="13"/>
      <c r="Y19" s="13"/>
      <c r="Z19" s="13"/>
      <c r="AA19" s="13"/>
    </row>
    <row r="20" spans="1:27" ht="60" x14ac:dyDescent="0.25">
      <c r="A20" s="11" t="s">
        <v>145</v>
      </c>
      <c r="B20" s="12" t="s">
        <v>62</v>
      </c>
      <c r="C20" s="11" t="s">
        <v>146</v>
      </c>
      <c r="D20" s="11" t="s">
        <v>147</v>
      </c>
      <c r="E20" s="11" t="s">
        <v>148</v>
      </c>
      <c r="F20" s="11" t="s">
        <v>66</v>
      </c>
      <c r="G20" s="11" t="s">
        <v>75</v>
      </c>
      <c r="H20" s="11"/>
      <c r="I20" s="11" t="s">
        <v>149</v>
      </c>
      <c r="J20" s="11" t="s">
        <v>150</v>
      </c>
      <c r="K20" s="11"/>
      <c r="L20" s="11" t="s">
        <v>70</v>
      </c>
      <c r="M20" s="11" t="s">
        <v>71</v>
      </c>
      <c r="N20" s="11" t="s">
        <v>72</v>
      </c>
      <c r="O20" s="11" t="s">
        <v>19</v>
      </c>
      <c r="P20" s="13"/>
      <c r="Q20" s="13"/>
      <c r="R20" s="13"/>
      <c r="S20" s="13"/>
      <c r="T20" s="11" t="s">
        <v>19</v>
      </c>
      <c r="U20" s="13"/>
      <c r="V20" s="13"/>
      <c r="W20" s="13"/>
      <c r="X20" s="13"/>
      <c r="Y20" s="13"/>
      <c r="Z20" s="13"/>
      <c r="AA20" s="13"/>
    </row>
    <row r="21" spans="1:27" ht="45" x14ac:dyDescent="0.25">
      <c r="A21" s="11" t="s">
        <v>151</v>
      </c>
      <c r="B21" s="12" t="s">
        <v>62</v>
      </c>
      <c r="C21" s="11" t="s">
        <v>146</v>
      </c>
      <c r="D21" s="11" t="s">
        <v>152</v>
      </c>
      <c r="E21" s="11" t="s">
        <v>153</v>
      </c>
      <c r="F21" s="11" t="s">
        <v>66</v>
      </c>
      <c r="G21" s="11" t="s">
        <v>75</v>
      </c>
      <c r="H21" s="11"/>
      <c r="I21" s="11" t="s">
        <v>154</v>
      </c>
      <c r="J21" s="11" t="s">
        <v>155</v>
      </c>
      <c r="K21" s="11"/>
      <c r="L21" s="11" t="s">
        <v>70</v>
      </c>
      <c r="M21" s="11" t="s">
        <v>71</v>
      </c>
      <c r="N21" s="11" t="s">
        <v>72</v>
      </c>
      <c r="O21" s="11" t="s">
        <v>19</v>
      </c>
      <c r="P21" s="13"/>
      <c r="Q21" s="13"/>
      <c r="R21" s="13"/>
      <c r="S21" s="13"/>
      <c r="T21" s="11" t="s">
        <v>19</v>
      </c>
      <c r="U21" s="13"/>
      <c r="V21" s="13"/>
      <c r="W21" s="13"/>
      <c r="X21" s="13"/>
      <c r="Y21" s="13"/>
      <c r="Z21" s="13"/>
      <c r="AA21" s="13"/>
    </row>
    <row r="22" spans="1:27" ht="60" x14ac:dyDescent="0.25">
      <c r="A22" s="11" t="s">
        <v>156</v>
      </c>
      <c r="B22" s="12" t="s">
        <v>62</v>
      </c>
      <c r="C22" s="11" t="s">
        <v>146</v>
      </c>
      <c r="D22" s="11" t="s">
        <v>157</v>
      </c>
      <c r="E22" s="11" t="s">
        <v>158</v>
      </c>
      <c r="F22" s="11" t="s">
        <v>66</v>
      </c>
      <c r="G22" s="11" t="s">
        <v>67</v>
      </c>
      <c r="H22" s="11"/>
      <c r="I22" s="11" t="s">
        <v>159</v>
      </c>
      <c r="J22" s="11" t="s">
        <v>160</v>
      </c>
      <c r="K22" s="11"/>
      <c r="L22" s="11" t="s">
        <v>70</v>
      </c>
      <c r="M22" s="11" t="s">
        <v>71</v>
      </c>
      <c r="N22" s="11" t="s">
        <v>72</v>
      </c>
      <c r="O22" s="11" t="s">
        <v>19</v>
      </c>
      <c r="P22" s="13"/>
      <c r="Q22" s="13"/>
      <c r="R22" s="13"/>
      <c r="S22" s="13"/>
      <c r="T22" s="11" t="s">
        <v>19</v>
      </c>
      <c r="U22" s="13"/>
      <c r="V22" s="13"/>
      <c r="W22" s="13"/>
      <c r="X22" s="13"/>
      <c r="Y22" s="13"/>
      <c r="Z22" s="13"/>
      <c r="AA22" s="13"/>
    </row>
    <row r="23" spans="1:27" ht="75" x14ac:dyDescent="0.25">
      <c r="A23" s="11" t="s">
        <v>161</v>
      </c>
      <c r="B23" s="12" t="s">
        <v>62</v>
      </c>
      <c r="C23" s="11" t="s">
        <v>146</v>
      </c>
      <c r="D23" s="11" t="s">
        <v>162</v>
      </c>
      <c r="E23" s="11" t="s">
        <v>163</v>
      </c>
      <c r="F23" s="11" t="s">
        <v>66</v>
      </c>
      <c r="G23" s="11" t="s">
        <v>67</v>
      </c>
      <c r="H23" s="11"/>
      <c r="I23" s="11" t="s">
        <v>164</v>
      </c>
      <c r="J23" s="11" t="s">
        <v>165</v>
      </c>
      <c r="K23" s="11"/>
      <c r="L23" s="11" t="s">
        <v>70</v>
      </c>
      <c r="M23" s="11" t="s">
        <v>71</v>
      </c>
      <c r="N23" s="11" t="s">
        <v>72</v>
      </c>
      <c r="O23" s="11" t="s">
        <v>19</v>
      </c>
      <c r="P23" s="13"/>
      <c r="Q23" s="13"/>
      <c r="R23" s="13"/>
      <c r="S23" s="13"/>
      <c r="T23" s="11" t="s">
        <v>19</v>
      </c>
      <c r="U23" s="13"/>
      <c r="V23" s="13"/>
      <c r="W23" s="13"/>
      <c r="X23" s="13"/>
      <c r="Y23" s="13"/>
      <c r="Z23" s="13"/>
      <c r="AA23" s="13"/>
    </row>
    <row r="24" spans="1:27" ht="60" x14ac:dyDescent="0.25">
      <c r="A24" s="11" t="s">
        <v>166</v>
      </c>
      <c r="B24" s="12" t="s">
        <v>62</v>
      </c>
      <c r="C24" s="11" t="s">
        <v>146</v>
      </c>
      <c r="D24" s="11" t="s">
        <v>167</v>
      </c>
      <c r="E24" s="11" t="s">
        <v>168</v>
      </c>
      <c r="F24" s="11" t="s">
        <v>66</v>
      </c>
      <c r="G24" s="11" t="s">
        <v>75</v>
      </c>
      <c r="H24" s="11"/>
      <c r="I24" s="11" t="s">
        <v>169</v>
      </c>
      <c r="J24" s="11" t="s">
        <v>170</v>
      </c>
      <c r="K24" s="11"/>
      <c r="L24" s="11" t="s">
        <v>70</v>
      </c>
      <c r="M24" s="11" t="s">
        <v>71</v>
      </c>
      <c r="N24" s="11" t="s">
        <v>72</v>
      </c>
      <c r="O24" s="11" t="s">
        <v>19</v>
      </c>
      <c r="P24" s="13"/>
      <c r="Q24" s="13"/>
      <c r="R24" s="13"/>
      <c r="S24" s="13"/>
      <c r="T24" s="11" t="s">
        <v>19</v>
      </c>
      <c r="U24" s="13"/>
      <c r="V24" s="13"/>
      <c r="W24" s="13"/>
      <c r="X24" s="13"/>
      <c r="Y24" s="13"/>
      <c r="Z24" s="13"/>
      <c r="AA24" s="13"/>
    </row>
    <row r="25" spans="1:27" ht="105" x14ac:dyDescent="0.25">
      <c r="A25" s="11" t="s">
        <v>171</v>
      </c>
      <c r="B25" s="12" t="s">
        <v>62</v>
      </c>
      <c r="C25" s="11" t="s">
        <v>146</v>
      </c>
      <c r="D25" s="11" t="s">
        <v>172</v>
      </c>
      <c r="E25" s="11" t="s">
        <v>173</v>
      </c>
      <c r="F25" s="11" t="s">
        <v>66</v>
      </c>
      <c r="G25" s="11" t="s">
        <v>67</v>
      </c>
      <c r="H25" s="11"/>
      <c r="I25" s="11" t="s">
        <v>174</v>
      </c>
      <c r="J25" s="11" t="s">
        <v>175</v>
      </c>
      <c r="K25" s="11"/>
      <c r="L25" s="11" t="s">
        <v>70</v>
      </c>
      <c r="M25" s="11" t="s">
        <v>71</v>
      </c>
      <c r="N25" s="11" t="s">
        <v>72</v>
      </c>
      <c r="O25" s="11" t="s">
        <v>19</v>
      </c>
      <c r="P25" s="13"/>
      <c r="Q25" s="13"/>
      <c r="R25" s="13"/>
      <c r="S25" s="13"/>
      <c r="T25" s="11" t="s">
        <v>19</v>
      </c>
      <c r="U25" s="13"/>
      <c r="V25" s="13"/>
      <c r="W25" s="13"/>
      <c r="X25" s="13"/>
      <c r="Y25" s="13"/>
      <c r="Z25" s="13"/>
      <c r="AA25" s="13"/>
    </row>
    <row r="26" spans="1:27" ht="45" x14ac:dyDescent="0.25">
      <c r="A26" s="11" t="s">
        <v>176</v>
      </c>
      <c r="B26" s="12" t="s">
        <v>62</v>
      </c>
      <c r="C26" s="11" t="s">
        <v>91</v>
      </c>
      <c r="D26" s="11" t="s">
        <v>177</v>
      </c>
      <c r="E26" s="11" t="s">
        <v>178</v>
      </c>
      <c r="F26" s="11" t="s">
        <v>66</v>
      </c>
      <c r="G26" s="11" t="s">
        <v>75</v>
      </c>
      <c r="H26" s="11"/>
      <c r="I26" s="11" t="s">
        <v>179</v>
      </c>
      <c r="J26" s="11" t="s">
        <v>180</v>
      </c>
      <c r="K26" s="11"/>
      <c r="L26" s="11" t="s">
        <v>70</v>
      </c>
      <c r="M26" s="11" t="s">
        <v>71</v>
      </c>
      <c r="N26" s="11" t="s">
        <v>72</v>
      </c>
      <c r="O26" s="11" t="s">
        <v>19</v>
      </c>
      <c r="P26" s="13"/>
      <c r="Q26" s="13"/>
      <c r="R26" s="13"/>
      <c r="S26" s="13"/>
      <c r="T26" s="11" t="s">
        <v>19</v>
      </c>
      <c r="U26" s="13"/>
      <c r="V26" s="13"/>
      <c r="W26" s="13"/>
      <c r="X26" s="13"/>
      <c r="Y26" s="13"/>
      <c r="Z26" s="13"/>
      <c r="AA26" s="13"/>
    </row>
    <row r="27" spans="1:27" ht="45" x14ac:dyDescent="0.25">
      <c r="A27" s="11" t="s">
        <v>181</v>
      </c>
      <c r="B27" s="12" t="s">
        <v>62</v>
      </c>
      <c r="C27" s="11" t="s">
        <v>91</v>
      </c>
      <c r="D27" s="11" t="s">
        <v>177</v>
      </c>
      <c r="E27" s="11" t="s">
        <v>182</v>
      </c>
      <c r="F27" s="11" t="s">
        <v>66</v>
      </c>
      <c r="G27" s="11" t="s">
        <v>94</v>
      </c>
      <c r="H27" s="11"/>
      <c r="I27" s="11" t="s">
        <v>183</v>
      </c>
      <c r="J27" s="11" t="s">
        <v>184</v>
      </c>
      <c r="K27" s="11"/>
      <c r="L27" s="11" t="s">
        <v>70</v>
      </c>
      <c r="M27" s="11" t="s">
        <v>71</v>
      </c>
      <c r="N27" s="11" t="s">
        <v>72</v>
      </c>
      <c r="O27" s="11" t="s">
        <v>19</v>
      </c>
      <c r="P27" s="13"/>
      <c r="Q27" s="13"/>
      <c r="R27" s="13"/>
      <c r="S27" s="13"/>
      <c r="T27" s="11" t="s">
        <v>19</v>
      </c>
      <c r="U27" s="13"/>
      <c r="V27" s="13"/>
      <c r="W27" s="13"/>
      <c r="X27" s="13"/>
      <c r="Y27" s="13"/>
      <c r="Z27" s="13"/>
      <c r="AA27" s="13"/>
    </row>
    <row r="28" spans="1:27" ht="60" x14ac:dyDescent="0.25">
      <c r="A28" s="11" t="s">
        <v>185</v>
      </c>
      <c r="B28" s="12" t="s">
        <v>62</v>
      </c>
      <c r="C28" s="11" t="s">
        <v>186</v>
      </c>
      <c r="D28" s="11" t="s">
        <v>187</v>
      </c>
      <c r="E28" s="11" t="s">
        <v>188</v>
      </c>
      <c r="F28" s="11" t="s">
        <v>66</v>
      </c>
      <c r="G28" s="11" t="s">
        <v>75</v>
      </c>
      <c r="H28" s="11"/>
      <c r="I28" s="11" t="s">
        <v>189</v>
      </c>
      <c r="J28" s="11" t="s">
        <v>190</v>
      </c>
      <c r="K28" s="11"/>
      <c r="L28" s="11" t="s">
        <v>70</v>
      </c>
      <c r="M28" s="11" t="s">
        <v>71</v>
      </c>
      <c r="N28" s="11" t="s">
        <v>72</v>
      </c>
      <c r="O28" s="11" t="s">
        <v>19</v>
      </c>
      <c r="P28" s="13"/>
      <c r="Q28" s="13"/>
      <c r="R28" s="13"/>
      <c r="S28" s="13"/>
      <c r="T28" s="11" t="s">
        <v>19</v>
      </c>
      <c r="U28" s="13"/>
      <c r="V28" s="13"/>
      <c r="W28" s="13"/>
      <c r="X28" s="13"/>
      <c r="Y28" s="13"/>
      <c r="Z28" s="13"/>
      <c r="AA28" s="13"/>
    </row>
    <row r="29" spans="1:27" ht="45" x14ac:dyDescent="0.25">
      <c r="A29" s="11" t="s">
        <v>191</v>
      </c>
      <c r="B29" s="12" t="s">
        <v>192</v>
      </c>
      <c r="C29" s="11" t="s">
        <v>146</v>
      </c>
      <c r="D29" s="11" t="s">
        <v>193</v>
      </c>
      <c r="E29" s="11" t="s">
        <v>194</v>
      </c>
      <c r="F29" s="11" t="s">
        <v>66</v>
      </c>
      <c r="G29" s="11" t="s">
        <v>94</v>
      </c>
      <c r="H29" s="11"/>
      <c r="I29" s="11" t="s">
        <v>195</v>
      </c>
      <c r="J29" s="11" t="s">
        <v>196</v>
      </c>
      <c r="K29" s="11"/>
      <c r="L29" s="11" t="s">
        <v>70</v>
      </c>
      <c r="M29" s="11" t="s">
        <v>71</v>
      </c>
      <c r="N29" s="11" t="s">
        <v>72</v>
      </c>
      <c r="O29" s="11" t="s">
        <v>19</v>
      </c>
      <c r="P29" s="13"/>
      <c r="Q29" s="13"/>
      <c r="R29" s="13"/>
      <c r="S29" s="13"/>
      <c r="T29" s="11" t="s">
        <v>19</v>
      </c>
      <c r="U29" s="13"/>
      <c r="V29" s="13"/>
      <c r="W29" s="13"/>
      <c r="X29" s="13"/>
      <c r="Y29" s="13"/>
      <c r="Z29" s="13"/>
      <c r="AA29" s="13"/>
    </row>
    <row r="30" spans="1:27" ht="45" x14ac:dyDescent="0.25">
      <c r="A30" s="11" t="s">
        <v>197</v>
      </c>
      <c r="B30" s="12" t="s">
        <v>198</v>
      </c>
      <c r="C30" s="11" t="s">
        <v>146</v>
      </c>
      <c r="D30" s="11" t="s">
        <v>199</v>
      </c>
      <c r="E30" s="11" t="s">
        <v>200</v>
      </c>
      <c r="F30" s="11" t="s">
        <v>66</v>
      </c>
      <c r="G30" s="11" t="s">
        <v>75</v>
      </c>
      <c r="H30" s="11"/>
      <c r="I30" s="11" t="s">
        <v>201</v>
      </c>
      <c r="J30" s="11" t="s">
        <v>202</v>
      </c>
      <c r="K30" s="11"/>
      <c r="L30" s="11" t="s">
        <v>70</v>
      </c>
      <c r="M30" s="11" t="s">
        <v>71</v>
      </c>
      <c r="N30" s="11" t="s">
        <v>72</v>
      </c>
      <c r="O30" s="11" t="s">
        <v>19</v>
      </c>
      <c r="P30" s="13"/>
      <c r="Q30" s="13"/>
      <c r="R30" s="13"/>
      <c r="S30" s="13"/>
      <c r="T30" s="11" t="s">
        <v>19</v>
      </c>
      <c r="U30" s="13"/>
      <c r="V30" s="13"/>
      <c r="W30" s="13"/>
      <c r="X30" s="13"/>
      <c r="Y30" s="13"/>
      <c r="Z30" s="13"/>
      <c r="AA30" s="13"/>
    </row>
    <row r="31" spans="1:27" ht="15.75" x14ac:dyDescent="0.25">
      <c r="A31" s="53" t="s">
        <v>203</v>
      </c>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5"/>
    </row>
    <row r="32" spans="1:27" ht="45" x14ac:dyDescent="0.25">
      <c r="A32" s="11" t="s">
        <v>204</v>
      </c>
      <c r="B32" s="12" t="s">
        <v>62</v>
      </c>
      <c r="C32" s="11" t="s">
        <v>63</v>
      </c>
      <c r="D32" s="11" t="s">
        <v>64</v>
      </c>
      <c r="E32" s="11" t="s">
        <v>205</v>
      </c>
      <c r="F32" s="11" t="s">
        <v>206</v>
      </c>
      <c r="G32" s="11" t="s">
        <v>67</v>
      </c>
      <c r="H32" s="11"/>
      <c r="I32" s="11" t="s">
        <v>207</v>
      </c>
      <c r="J32" s="11" t="s">
        <v>208</v>
      </c>
      <c r="K32" s="11"/>
      <c r="L32" s="11" t="s">
        <v>70</v>
      </c>
      <c r="M32" s="11" t="s">
        <v>71</v>
      </c>
      <c r="N32" s="11" t="s">
        <v>72</v>
      </c>
      <c r="O32" s="11" t="s">
        <v>19</v>
      </c>
      <c r="P32" s="13"/>
      <c r="Q32" s="13"/>
      <c r="R32" s="13"/>
      <c r="S32" s="13"/>
      <c r="T32" s="11" t="s">
        <v>19</v>
      </c>
      <c r="U32" s="13"/>
      <c r="V32" s="13"/>
      <c r="W32" s="13"/>
      <c r="X32" s="13"/>
      <c r="Y32" s="13"/>
      <c r="Z32" s="13"/>
      <c r="AA32" s="13"/>
    </row>
    <row r="33" spans="1:27" ht="45" x14ac:dyDescent="0.25">
      <c r="A33" s="11" t="s">
        <v>209</v>
      </c>
      <c r="B33" s="12" t="s">
        <v>62</v>
      </c>
      <c r="C33" s="11" t="s">
        <v>63</v>
      </c>
      <c r="D33" s="11" t="s">
        <v>64</v>
      </c>
      <c r="E33" s="11" t="s">
        <v>210</v>
      </c>
      <c r="F33" s="11" t="s">
        <v>206</v>
      </c>
      <c r="G33" s="11" t="s">
        <v>75</v>
      </c>
      <c r="H33" s="11"/>
      <c r="I33" s="11" t="s">
        <v>211</v>
      </c>
      <c r="J33" s="11" t="s">
        <v>212</v>
      </c>
      <c r="K33" s="11"/>
      <c r="L33" s="11" t="s">
        <v>70</v>
      </c>
      <c r="M33" s="11" t="s">
        <v>71</v>
      </c>
      <c r="N33" s="11" t="s">
        <v>72</v>
      </c>
      <c r="O33" s="11" t="s">
        <v>19</v>
      </c>
      <c r="P33" s="13"/>
      <c r="Q33" s="13"/>
      <c r="R33" s="13"/>
      <c r="S33" s="13"/>
      <c r="T33" s="11" t="s">
        <v>19</v>
      </c>
      <c r="U33" s="13"/>
      <c r="V33" s="13"/>
      <c r="W33" s="13"/>
      <c r="X33" s="13"/>
      <c r="Y33" s="13"/>
      <c r="Z33" s="13"/>
      <c r="AA33" s="13"/>
    </row>
    <row r="34" spans="1:27" ht="45" x14ac:dyDescent="0.25">
      <c r="A34" s="11" t="s">
        <v>213</v>
      </c>
      <c r="B34" s="12" t="s">
        <v>62</v>
      </c>
      <c r="C34" s="11" t="s">
        <v>63</v>
      </c>
      <c r="D34" s="11" t="s">
        <v>64</v>
      </c>
      <c r="E34" s="11" t="s">
        <v>214</v>
      </c>
      <c r="F34" s="11" t="s">
        <v>206</v>
      </c>
      <c r="G34" s="11" t="s">
        <v>75</v>
      </c>
      <c r="H34" s="11"/>
      <c r="I34" s="11" t="s">
        <v>215</v>
      </c>
      <c r="J34" s="11" t="s">
        <v>216</v>
      </c>
      <c r="K34" s="11"/>
      <c r="L34" s="11" t="s">
        <v>70</v>
      </c>
      <c r="M34" s="11" t="s">
        <v>71</v>
      </c>
      <c r="N34" s="11" t="s">
        <v>72</v>
      </c>
      <c r="O34" s="11" t="s">
        <v>19</v>
      </c>
      <c r="P34" s="13"/>
      <c r="Q34" s="13"/>
      <c r="R34" s="13"/>
      <c r="S34" s="13"/>
      <c r="T34" s="11" t="s">
        <v>19</v>
      </c>
      <c r="U34" s="13"/>
      <c r="V34" s="13"/>
      <c r="W34" s="13"/>
      <c r="X34" s="13"/>
      <c r="Y34" s="13"/>
      <c r="Z34" s="13"/>
      <c r="AA34" s="13"/>
    </row>
    <row r="35" spans="1:27" ht="45" x14ac:dyDescent="0.25">
      <c r="A35" s="11" t="s">
        <v>217</v>
      </c>
      <c r="B35" s="12" t="s">
        <v>62</v>
      </c>
      <c r="C35" s="11" t="s">
        <v>63</v>
      </c>
      <c r="D35" s="11" t="s">
        <v>64</v>
      </c>
      <c r="E35" s="11" t="s">
        <v>218</v>
      </c>
      <c r="F35" s="11" t="s">
        <v>206</v>
      </c>
      <c r="G35" s="11" t="s">
        <v>94</v>
      </c>
      <c r="H35" s="11"/>
      <c r="I35" s="11" t="s">
        <v>219</v>
      </c>
      <c r="J35" s="11" t="s">
        <v>220</v>
      </c>
      <c r="K35" s="11"/>
      <c r="L35" s="11" t="s">
        <v>70</v>
      </c>
      <c r="M35" s="11" t="s">
        <v>71</v>
      </c>
      <c r="N35" s="11" t="s">
        <v>72</v>
      </c>
      <c r="O35" s="11" t="s">
        <v>19</v>
      </c>
      <c r="P35" s="13"/>
      <c r="Q35" s="13"/>
      <c r="R35" s="13"/>
      <c r="S35" s="13"/>
      <c r="T35" s="11" t="s">
        <v>19</v>
      </c>
      <c r="U35" s="13"/>
      <c r="V35" s="13"/>
      <c r="W35" s="13"/>
      <c r="X35" s="13"/>
      <c r="Y35" s="13"/>
      <c r="Z35" s="13"/>
      <c r="AA35" s="13"/>
    </row>
    <row r="36" spans="1:27" ht="45" x14ac:dyDescent="0.25">
      <c r="A36" s="11" t="s">
        <v>221</v>
      </c>
      <c r="B36" s="12" t="s">
        <v>62</v>
      </c>
      <c r="C36" s="11" t="s">
        <v>120</v>
      </c>
      <c r="D36" s="11" t="s">
        <v>222</v>
      </c>
      <c r="E36" s="11" t="s">
        <v>223</v>
      </c>
      <c r="F36" s="11" t="s">
        <v>206</v>
      </c>
      <c r="G36" s="11" t="s">
        <v>75</v>
      </c>
      <c r="H36" s="11"/>
      <c r="I36" s="11" t="s">
        <v>224</v>
      </c>
      <c r="J36" s="11" t="s">
        <v>225</v>
      </c>
      <c r="K36" s="11"/>
      <c r="L36" s="11" t="s">
        <v>70</v>
      </c>
      <c r="M36" s="11" t="s">
        <v>71</v>
      </c>
      <c r="N36" s="11" t="s">
        <v>72</v>
      </c>
      <c r="O36" s="11" t="s">
        <v>19</v>
      </c>
      <c r="P36" s="13"/>
      <c r="Q36" s="13"/>
      <c r="R36" s="13"/>
      <c r="S36" s="13"/>
      <c r="T36" s="11" t="s">
        <v>19</v>
      </c>
      <c r="U36" s="13"/>
      <c r="V36" s="13"/>
      <c r="W36" s="13"/>
      <c r="X36" s="13"/>
      <c r="Y36" s="13"/>
      <c r="Z36" s="13"/>
      <c r="AA36" s="13"/>
    </row>
    <row r="37" spans="1:27" ht="45" x14ac:dyDescent="0.25">
      <c r="A37" s="11" t="s">
        <v>226</v>
      </c>
      <c r="B37" s="12" t="s">
        <v>62</v>
      </c>
      <c r="C37" s="11" t="s">
        <v>120</v>
      </c>
      <c r="D37" s="11" t="s">
        <v>222</v>
      </c>
      <c r="E37" s="11" t="s">
        <v>227</v>
      </c>
      <c r="F37" s="11" t="s">
        <v>206</v>
      </c>
      <c r="G37" s="11" t="s">
        <v>75</v>
      </c>
      <c r="H37" s="11"/>
      <c r="I37" s="11" t="s">
        <v>228</v>
      </c>
      <c r="J37" s="11" t="s">
        <v>229</v>
      </c>
      <c r="K37" s="11"/>
      <c r="L37" s="11" t="s">
        <v>70</v>
      </c>
      <c r="M37" s="11" t="s">
        <v>71</v>
      </c>
      <c r="N37" s="11" t="s">
        <v>72</v>
      </c>
      <c r="O37" s="11" t="s">
        <v>19</v>
      </c>
      <c r="P37" s="13"/>
      <c r="Q37" s="13"/>
      <c r="R37" s="13"/>
      <c r="S37" s="13"/>
      <c r="T37" s="11" t="s">
        <v>19</v>
      </c>
      <c r="U37" s="13"/>
      <c r="V37" s="13"/>
      <c r="W37" s="13"/>
      <c r="X37" s="13"/>
      <c r="Y37" s="13"/>
      <c r="Z37" s="13"/>
      <c r="AA37" s="13"/>
    </row>
    <row r="38" spans="1:27" ht="45" x14ac:dyDescent="0.25">
      <c r="A38" s="11" t="s">
        <v>230</v>
      </c>
      <c r="B38" s="12" t="s">
        <v>62</v>
      </c>
      <c r="C38" s="11" t="s">
        <v>120</v>
      </c>
      <c r="D38" s="11" t="s">
        <v>222</v>
      </c>
      <c r="E38" s="11" t="s">
        <v>231</v>
      </c>
      <c r="F38" s="11" t="s">
        <v>206</v>
      </c>
      <c r="G38" s="11" t="s">
        <v>75</v>
      </c>
      <c r="H38" s="11"/>
      <c r="I38" s="11" t="s">
        <v>232</v>
      </c>
      <c r="J38" s="11" t="s">
        <v>233</v>
      </c>
      <c r="K38" s="11"/>
      <c r="L38" s="11" t="s">
        <v>70</v>
      </c>
      <c r="M38" s="11" t="s">
        <v>71</v>
      </c>
      <c r="N38" s="11" t="s">
        <v>72</v>
      </c>
      <c r="O38" s="11" t="s">
        <v>19</v>
      </c>
      <c r="P38" s="13"/>
      <c r="Q38" s="13"/>
      <c r="R38" s="13"/>
      <c r="S38" s="13"/>
      <c r="T38" s="11" t="s">
        <v>19</v>
      </c>
      <c r="U38" s="13"/>
      <c r="V38" s="13"/>
      <c r="W38" s="13"/>
      <c r="X38" s="13"/>
      <c r="Y38" s="13"/>
      <c r="Z38" s="13"/>
      <c r="AA38" s="13"/>
    </row>
    <row r="39" spans="1:27" ht="15.75" x14ac:dyDescent="0.25">
      <c r="A39" s="53" t="s">
        <v>234</v>
      </c>
      <c r="B39" s="54"/>
      <c r="C39" s="54"/>
      <c r="D39" s="54"/>
      <c r="E39" s="54"/>
      <c r="F39" s="54"/>
      <c r="G39" s="54"/>
      <c r="H39" s="54"/>
      <c r="I39" s="54"/>
      <c r="J39" s="54"/>
      <c r="K39" s="54"/>
      <c r="L39" s="54"/>
      <c r="M39" s="54"/>
      <c r="N39" s="54"/>
      <c r="O39" s="54"/>
      <c r="P39" s="54"/>
      <c r="Q39" s="54"/>
      <c r="R39" s="54"/>
      <c r="S39" s="54"/>
      <c r="T39" s="54"/>
      <c r="U39" s="54"/>
      <c r="V39" s="54"/>
      <c r="W39" s="54"/>
      <c r="X39" s="54"/>
      <c r="Y39" s="54"/>
      <c r="Z39" s="54"/>
      <c r="AA39" s="55"/>
    </row>
    <row r="40" spans="1:27" ht="60" x14ac:dyDescent="0.25">
      <c r="A40" s="11" t="s">
        <v>235</v>
      </c>
      <c r="B40" s="12" t="s">
        <v>62</v>
      </c>
      <c r="C40" s="11" t="s">
        <v>63</v>
      </c>
      <c r="D40" s="11" t="s">
        <v>64</v>
      </c>
      <c r="E40" s="11" t="s">
        <v>236</v>
      </c>
      <c r="F40" s="11" t="s">
        <v>237</v>
      </c>
      <c r="G40" s="11" t="s">
        <v>67</v>
      </c>
      <c r="H40" s="11"/>
      <c r="I40" s="11" t="s">
        <v>238</v>
      </c>
      <c r="J40" s="11" t="s">
        <v>239</v>
      </c>
      <c r="K40" s="11"/>
      <c r="L40" s="11" t="s">
        <v>70</v>
      </c>
      <c r="M40" s="11" t="s">
        <v>71</v>
      </c>
      <c r="N40" s="11" t="s">
        <v>72</v>
      </c>
      <c r="O40" s="11" t="s">
        <v>19</v>
      </c>
      <c r="P40" s="13"/>
      <c r="Q40" s="13"/>
      <c r="R40" s="13"/>
      <c r="S40" s="13"/>
      <c r="T40" s="11" t="s">
        <v>19</v>
      </c>
      <c r="U40" s="13"/>
      <c r="V40" s="13"/>
      <c r="W40" s="13"/>
      <c r="X40" s="13"/>
      <c r="Y40" s="13"/>
      <c r="Z40" s="13"/>
      <c r="AA40" s="13"/>
    </row>
    <row r="41" spans="1:27" ht="60" x14ac:dyDescent="0.25">
      <c r="A41" s="11" t="s">
        <v>240</v>
      </c>
      <c r="B41" s="12" t="s">
        <v>62</v>
      </c>
      <c r="C41" s="11" t="s">
        <v>63</v>
      </c>
      <c r="D41" s="11" t="s">
        <v>64</v>
      </c>
      <c r="E41" s="11" t="s">
        <v>241</v>
      </c>
      <c r="F41" s="11" t="s">
        <v>237</v>
      </c>
      <c r="G41" s="11" t="s">
        <v>67</v>
      </c>
      <c r="H41" s="11"/>
      <c r="I41" s="11" t="s">
        <v>242</v>
      </c>
      <c r="J41" s="11" t="s">
        <v>243</v>
      </c>
      <c r="K41" s="11"/>
      <c r="L41" s="11" t="s">
        <v>70</v>
      </c>
      <c r="M41" s="11" t="s">
        <v>71</v>
      </c>
      <c r="N41" s="11" t="s">
        <v>72</v>
      </c>
      <c r="O41" s="11" t="s">
        <v>19</v>
      </c>
      <c r="P41" s="13"/>
      <c r="Q41" s="13"/>
      <c r="R41" s="13"/>
      <c r="S41" s="13"/>
      <c r="T41" s="11" t="s">
        <v>19</v>
      </c>
      <c r="U41" s="13"/>
      <c r="V41" s="13"/>
      <c r="W41" s="13"/>
      <c r="X41" s="13"/>
      <c r="Y41" s="13"/>
      <c r="Z41" s="13"/>
      <c r="AA41" s="13"/>
    </row>
    <row r="42" spans="1:27" ht="60" x14ac:dyDescent="0.25">
      <c r="A42" s="11" t="s">
        <v>244</v>
      </c>
      <c r="B42" s="12" t="s">
        <v>62</v>
      </c>
      <c r="C42" s="11" t="s">
        <v>63</v>
      </c>
      <c r="D42" s="11" t="s">
        <v>64</v>
      </c>
      <c r="E42" s="11" t="s">
        <v>245</v>
      </c>
      <c r="F42" s="11" t="s">
        <v>237</v>
      </c>
      <c r="G42" s="11" t="s">
        <v>75</v>
      </c>
      <c r="H42" s="11"/>
      <c r="I42" s="11" t="s">
        <v>246</v>
      </c>
      <c r="J42" s="11" t="s">
        <v>247</v>
      </c>
      <c r="K42" s="11"/>
      <c r="L42" s="11" t="s">
        <v>70</v>
      </c>
      <c r="M42" s="11" t="s">
        <v>71</v>
      </c>
      <c r="N42" s="11" t="s">
        <v>72</v>
      </c>
      <c r="O42" s="11" t="s">
        <v>19</v>
      </c>
      <c r="P42" s="13"/>
      <c r="Q42" s="13"/>
      <c r="R42" s="13"/>
      <c r="S42" s="13"/>
      <c r="T42" s="11" t="s">
        <v>19</v>
      </c>
      <c r="U42" s="13"/>
      <c r="V42" s="13"/>
      <c r="W42" s="13"/>
      <c r="X42" s="13"/>
      <c r="Y42" s="13"/>
      <c r="Z42" s="13"/>
      <c r="AA42" s="13"/>
    </row>
    <row r="43" spans="1:27" ht="45" x14ac:dyDescent="0.25">
      <c r="A43" s="11" t="s">
        <v>248</v>
      </c>
      <c r="B43" s="12" t="s">
        <v>62</v>
      </c>
      <c r="C43" s="11" t="s">
        <v>63</v>
      </c>
      <c r="D43" s="11" t="s">
        <v>64</v>
      </c>
      <c r="E43" s="11" t="s">
        <v>249</v>
      </c>
      <c r="F43" s="11" t="s">
        <v>237</v>
      </c>
      <c r="G43" s="11" t="s">
        <v>75</v>
      </c>
      <c r="H43" s="11"/>
      <c r="I43" s="11" t="s">
        <v>250</v>
      </c>
      <c r="J43" s="11" t="s">
        <v>251</v>
      </c>
      <c r="K43" s="11"/>
      <c r="L43" s="11" t="s">
        <v>70</v>
      </c>
      <c r="M43" s="11" t="s">
        <v>71</v>
      </c>
      <c r="N43" s="11" t="s">
        <v>72</v>
      </c>
      <c r="O43" s="11" t="s">
        <v>19</v>
      </c>
      <c r="P43" s="13"/>
      <c r="Q43" s="13"/>
      <c r="R43" s="13"/>
      <c r="S43" s="13"/>
      <c r="T43" s="11" t="s">
        <v>19</v>
      </c>
      <c r="U43" s="13"/>
      <c r="V43" s="13"/>
      <c r="W43" s="13"/>
      <c r="X43" s="13"/>
      <c r="Y43" s="13"/>
      <c r="Z43" s="13"/>
      <c r="AA43" s="13"/>
    </row>
    <row r="44" spans="1:27" ht="45" x14ac:dyDescent="0.25">
      <c r="A44" s="11" t="s">
        <v>252</v>
      </c>
      <c r="B44" s="12" t="s">
        <v>62</v>
      </c>
      <c r="C44" s="11" t="s">
        <v>63</v>
      </c>
      <c r="D44" s="11" t="s">
        <v>64</v>
      </c>
      <c r="E44" s="11" t="s">
        <v>253</v>
      </c>
      <c r="F44" s="11" t="s">
        <v>237</v>
      </c>
      <c r="G44" s="11" t="s">
        <v>75</v>
      </c>
      <c r="H44" s="11"/>
      <c r="I44" s="11" t="s">
        <v>254</v>
      </c>
      <c r="J44" s="11" t="s">
        <v>255</v>
      </c>
      <c r="K44" s="11"/>
      <c r="L44" s="11" t="s">
        <v>70</v>
      </c>
      <c r="M44" s="11" t="s">
        <v>71</v>
      </c>
      <c r="N44" s="11" t="s">
        <v>72</v>
      </c>
      <c r="O44" s="11" t="s">
        <v>19</v>
      </c>
      <c r="P44" s="13"/>
      <c r="Q44" s="13"/>
      <c r="R44" s="13"/>
      <c r="S44" s="13"/>
      <c r="T44" s="11" t="s">
        <v>19</v>
      </c>
      <c r="U44" s="13"/>
      <c r="V44" s="13"/>
      <c r="W44" s="13"/>
      <c r="X44" s="13"/>
      <c r="Y44" s="13"/>
      <c r="Z44" s="13"/>
      <c r="AA44" s="13"/>
    </row>
    <row r="45" spans="1:27" ht="60" x14ac:dyDescent="0.25">
      <c r="A45" s="11" t="s">
        <v>256</v>
      </c>
      <c r="B45" s="12" t="s">
        <v>62</v>
      </c>
      <c r="C45" s="11" t="s">
        <v>63</v>
      </c>
      <c r="D45" s="11" t="s">
        <v>64</v>
      </c>
      <c r="E45" s="11" t="s">
        <v>257</v>
      </c>
      <c r="F45" s="11" t="s">
        <v>237</v>
      </c>
      <c r="G45" s="11" t="s">
        <v>75</v>
      </c>
      <c r="H45" s="11"/>
      <c r="I45" s="11" t="s">
        <v>258</v>
      </c>
      <c r="J45" s="11" t="s">
        <v>259</v>
      </c>
      <c r="K45" s="11"/>
      <c r="L45" s="11" t="s">
        <v>70</v>
      </c>
      <c r="M45" s="11" t="s">
        <v>71</v>
      </c>
      <c r="N45" s="11" t="s">
        <v>72</v>
      </c>
      <c r="O45" s="11" t="s">
        <v>19</v>
      </c>
      <c r="P45" s="13"/>
      <c r="Q45" s="13"/>
      <c r="R45" s="13"/>
      <c r="S45" s="13"/>
      <c r="T45" s="11" t="s">
        <v>19</v>
      </c>
      <c r="U45" s="13"/>
      <c r="V45" s="13"/>
      <c r="W45" s="13"/>
      <c r="X45" s="13"/>
      <c r="Y45" s="13"/>
      <c r="Z45" s="13"/>
      <c r="AA45" s="13"/>
    </row>
    <row r="46" spans="1:27" ht="30" x14ac:dyDescent="0.25">
      <c r="A46" s="11" t="s">
        <v>260</v>
      </c>
      <c r="B46" s="12" t="s">
        <v>62</v>
      </c>
      <c r="C46" s="11" t="s">
        <v>63</v>
      </c>
      <c r="D46" s="11" t="s">
        <v>64</v>
      </c>
      <c r="E46" s="11" t="s">
        <v>261</v>
      </c>
      <c r="F46" s="11" t="s">
        <v>237</v>
      </c>
      <c r="G46" s="11" t="s">
        <v>75</v>
      </c>
      <c r="H46" s="11"/>
      <c r="I46" s="11" t="s">
        <v>262</v>
      </c>
      <c r="J46" s="11" t="s">
        <v>263</v>
      </c>
      <c r="K46" s="11"/>
      <c r="L46" s="11" t="s">
        <v>70</v>
      </c>
      <c r="M46" s="11" t="s">
        <v>71</v>
      </c>
      <c r="N46" s="11" t="s">
        <v>72</v>
      </c>
      <c r="O46" s="11" t="s">
        <v>19</v>
      </c>
      <c r="P46" s="13"/>
      <c r="Q46" s="13"/>
      <c r="R46" s="13"/>
      <c r="S46" s="13"/>
      <c r="T46" s="11" t="s">
        <v>19</v>
      </c>
      <c r="U46" s="13"/>
      <c r="V46" s="13"/>
      <c r="W46" s="13"/>
      <c r="X46" s="13"/>
      <c r="Y46" s="13"/>
      <c r="Z46" s="13"/>
      <c r="AA46" s="13"/>
    </row>
    <row r="47" spans="1:27" ht="30" x14ac:dyDescent="0.25">
      <c r="A47" s="11" t="s">
        <v>264</v>
      </c>
      <c r="B47" s="12" t="s">
        <v>62</v>
      </c>
      <c r="C47" s="11" t="s">
        <v>63</v>
      </c>
      <c r="D47" s="11" t="s">
        <v>64</v>
      </c>
      <c r="E47" s="11" t="s">
        <v>265</v>
      </c>
      <c r="F47" s="11" t="s">
        <v>237</v>
      </c>
      <c r="G47" s="11" t="s">
        <v>75</v>
      </c>
      <c r="H47" s="11"/>
      <c r="I47" s="11" t="s">
        <v>266</v>
      </c>
      <c r="J47" s="11" t="s">
        <v>267</v>
      </c>
      <c r="K47" s="11"/>
      <c r="L47" s="11" t="s">
        <v>70</v>
      </c>
      <c r="M47" s="11" t="s">
        <v>71</v>
      </c>
      <c r="N47" s="11" t="s">
        <v>72</v>
      </c>
      <c r="O47" s="11" t="s">
        <v>19</v>
      </c>
      <c r="P47" s="13"/>
      <c r="Q47" s="13"/>
      <c r="R47" s="13"/>
      <c r="S47" s="13"/>
      <c r="T47" s="11" t="s">
        <v>19</v>
      </c>
      <c r="U47" s="13"/>
      <c r="V47" s="13"/>
      <c r="W47" s="13"/>
      <c r="X47" s="13"/>
      <c r="Y47" s="13"/>
      <c r="Z47" s="13"/>
      <c r="AA47" s="13"/>
    </row>
    <row r="48" spans="1:27" ht="30" x14ac:dyDescent="0.25">
      <c r="A48" s="11" t="s">
        <v>268</v>
      </c>
      <c r="B48" s="12" t="s">
        <v>62</v>
      </c>
      <c r="C48" s="11" t="s">
        <v>63</v>
      </c>
      <c r="D48" s="11" t="s">
        <v>64</v>
      </c>
      <c r="E48" s="11" t="s">
        <v>269</v>
      </c>
      <c r="F48" s="11" t="s">
        <v>237</v>
      </c>
      <c r="G48" s="11" t="s">
        <v>75</v>
      </c>
      <c r="H48" s="11"/>
      <c r="I48" s="11" t="s">
        <v>270</v>
      </c>
      <c r="J48" s="11" t="s">
        <v>271</v>
      </c>
      <c r="K48" s="11"/>
      <c r="L48" s="11" t="s">
        <v>70</v>
      </c>
      <c r="M48" s="11" t="s">
        <v>71</v>
      </c>
      <c r="N48" s="11" t="s">
        <v>72</v>
      </c>
      <c r="O48" s="11" t="s">
        <v>19</v>
      </c>
      <c r="P48" s="13"/>
      <c r="Q48" s="13"/>
      <c r="R48" s="13"/>
      <c r="S48" s="13"/>
      <c r="T48" s="11" t="s">
        <v>19</v>
      </c>
      <c r="U48" s="13"/>
      <c r="V48" s="13"/>
      <c r="W48" s="13"/>
      <c r="X48" s="13"/>
      <c r="Y48" s="13"/>
      <c r="Z48" s="13"/>
      <c r="AA48" s="13"/>
    </row>
    <row r="49" spans="1:27" ht="45" x14ac:dyDescent="0.25">
      <c r="A49" s="11" t="s">
        <v>272</v>
      </c>
      <c r="B49" s="12" t="s">
        <v>62</v>
      </c>
      <c r="C49" s="11" t="s">
        <v>63</v>
      </c>
      <c r="D49" s="11" t="s">
        <v>64</v>
      </c>
      <c r="E49" s="11" t="s">
        <v>273</v>
      </c>
      <c r="F49" s="11" t="s">
        <v>237</v>
      </c>
      <c r="G49" s="11" t="s">
        <v>94</v>
      </c>
      <c r="H49" s="11"/>
      <c r="I49" s="11" t="s">
        <v>274</v>
      </c>
      <c r="J49" s="11" t="s">
        <v>275</v>
      </c>
      <c r="K49" s="11"/>
      <c r="L49" s="11" t="s">
        <v>70</v>
      </c>
      <c r="M49" s="11" t="s">
        <v>71</v>
      </c>
      <c r="N49" s="11" t="s">
        <v>72</v>
      </c>
      <c r="O49" s="11" t="s">
        <v>19</v>
      </c>
      <c r="P49" s="13"/>
      <c r="Q49" s="13"/>
      <c r="R49" s="13"/>
      <c r="S49" s="13"/>
      <c r="T49" s="11" t="s">
        <v>19</v>
      </c>
      <c r="U49" s="13"/>
      <c r="V49" s="13"/>
      <c r="W49" s="13"/>
      <c r="X49" s="13"/>
      <c r="Y49" s="13"/>
      <c r="Z49" s="13"/>
      <c r="AA49" s="13"/>
    </row>
    <row r="50" spans="1:27" ht="45" x14ac:dyDescent="0.25">
      <c r="A50" s="11" t="s">
        <v>276</v>
      </c>
      <c r="B50" s="12" t="s">
        <v>62</v>
      </c>
      <c r="C50" s="11" t="s">
        <v>102</v>
      </c>
      <c r="D50" s="11" t="s">
        <v>103</v>
      </c>
      <c r="E50" s="11" t="s">
        <v>277</v>
      </c>
      <c r="F50" s="11" t="s">
        <v>237</v>
      </c>
      <c r="G50" s="11" t="s">
        <v>94</v>
      </c>
      <c r="H50" s="11"/>
      <c r="I50" s="11" t="s">
        <v>278</v>
      </c>
      <c r="J50" s="11" t="s">
        <v>279</v>
      </c>
      <c r="K50" s="11"/>
      <c r="L50" s="11" t="s">
        <v>70</v>
      </c>
      <c r="M50" s="11" t="s">
        <v>71</v>
      </c>
      <c r="N50" s="11" t="s">
        <v>72</v>
      </c>
      <c r="O50" s="11" t="s">
        <v>19</v>
      </c>
      <c r="P50" s="13"/>
      <c r="Q50" s="13"/>
      <c r="R50" s="13"/>
      <c r="S50" s="13"/>
      <c r="T50" s="11" t="s">
        <v>19</v>
      </c>
      <c r="U50" s="13"/>
      <c r="V50" s="13"/>
      <c r="W50" s="13"/>
      <c r="X50" s="13"/>
      <c r="Y50" s="13"/>
      <c r="Z50" s="13"/>
      <c r="AA50" s="13"/>
    </row>
    <row r="51" spans="1:27" ht="45" x14ac:dyDescent="0.25">
      <c r="A51" s="11" t="s">
        <v>280</v>
      </c>
      <c r="B51" s="12" t="s">
        <v>62</v>
      </c>
      <c r="C51" s="11" t="s">
        <v>120</v>
      </c>
      <c r="D51" s="11" t="s">
        <v>222</v>
      </c>
      <c r="E51" s="11" t="s">
        <v>281</v>
      </c>
      <c r="F51" s="11" t="s">
        <v>237</v>
      </c>
      <c r="G51" s="11" t="s">
        <v>67</v>
      </c>
      <c r="H51" s="11"/>
      <c r="I51" s="11" t="s">
        <v>282</v>
      </c>
      <c r="J51" s="11" t="s">
        <v>283</v>
      </c>
      <c r="K51" s="11"/>
      <c r="L51" s="11" t="s">
        <v>70</v>
      </c>
      <c r="M51" s="11" t="s">
        <v>71</v>
      </c>
      <c r="N51" s="11" t="s">
        <v>72</v>
      </c>
      <c r="O51" s="11" t="s">
        <v>19</v>
      </c>
      <c r="P51" s="13"/>
      <c r="Q51" s="13"/>
      <c r="R51" s="13"/>
      <c r="S51" s="13"/>
      <c r="T51" s="11" t="s">
        <v>19</v>
      </c>
      <c r="U51" s="13"/>
      <c r="V51" s="13"/>
      <c r="W51" s="13"/>
      <c r="X51" s="13"/>
      <c r="Y51" s="13"/>
      <c r="Z51" s="13"/>
      <c r="AA51" s="13"/>
    </row>
    <row r="52" spans="1:27" ht="30" x14ac:dyDescent="0.25">
      <c r="A52" s="11" t="s">
        <v>284</v>
      </c>
      <c r="B52" s="12" t="s">
        <v>62</v>
      </c>
      <c r="C52" s="11" t="s">
        <v>120</v>
      </c>
      <c r="D52" s="11" t="s">
        <v>222</v>
      </c>
      <c r="E52" s="11" t="s">
        <v>285</v>
      </c>
      <c r="F52" s="11" t="s">
        <v>237</v>
      </c>
      <c r="G52" s="11" t="s">
        <v>75</v>
      </c>
      <c r="H52" s="11"/>
      <c r="I52" s="11" t="s">
        <v>286</v>
      </c>
      <c r="J52" s="11" t="s">
        <v>287</v>
      </c>
      <c r="K52" s="11"/>
      <c r="L52" s="11" t="s">
        <v>70</v>
      </c>
      <c r="M52" s="11" t="s">
        <v>71</v>
      </c>
      <c r="N52" s="11" t="s">
        <v>72</v>
      </c>
      <c r="O52" s="11" t="s">
        <v>19</v>
      </c>
      <c r="P52" s="13"/>
      <c r="Q52" s="13"/>
      <c r="R52" s="13"/>
      <c r="S52" s="13"/>
      <c r="T52" s="11" t="s">
        <v>19</v>
      </c>
      <c r="U52" s="13"/>
      <c r="V52" s="13"/>
      <c r="W52" s="13"/>
      <c r="X52" s="13"/>
      <c r="Y52" s="13"/>
      <c r="Z52" s="13"/>
      <c r="AA52" s="13"/>
    </row>
    <row r="53" spans="1:27" ht="30" x14ac:dyDescent="0.25">
      <c r="A53" s="11" t="s">
        <v>288</v>
      </c>
      <c r="B53" s="12" t="s">
        <v>62</v>
      </c>
      <c r="C53" s="11" t="s">
        <v>120</v>
      </c>
      <c r="D53" s="11" t="s">
        <v>222</v>
      </c>
      <c r="E53" s="11" t="s">
        <v>289</v>
      </c>
      <c r="F53" s="11" t="s">
        <v>237</v>
      </c>
      <c r="G53" s="11" t="s">
        <v>75</v>
      </c>
      <c r="H53" s="11"/>
      <c r="I53" s="11" t="s">
        <v>290</v>
      </c>
      <c r="J53" s="11" t="s">
        <v>291</v>
      </c>
      <c r="K53" s="11"/>
      <c r="L53" s="11" t="s">
        <v>70</v>
      </c>
      <c r="M53" s="11" t="s">
        <v>71</v>
      </c>
      <c r="N53" s="11" t="s">
        <v>72</v>
      </c>
      <c r="O53" s="11" t="s">
        <v>19</v>
      </c>
      <c r="P53" s="13"/>
      <c r="Q53" s="13"/>
      <c r="R53" s="13"/>
      <c r="S53" s="13"/>
      <c r="T53" s="11" t="s">
        <v>19</v>
      </c>
      <c r="U53" s="13"/>
      <c r="V53" s="13"/>
      <c r="W53" s="13"/>
      <c r="X53" s="13"/>
      <c r="Y53" s="13"/>
      <c r="Z53" s="13"/>
      <c r="AA53" s="13"/>
    </row>
    <row r="54" spans="1:27" ht="30" x14ac:dyDescent="0.25">
      <c r="A54" s="11" t="s">
        <v>292</v>
      </c>
      <c r="B54" s="12" t="s">
        <v>293</v>
      </c>
      <c r="C54" s="11" t="s">
        <v>146</v>
      </c>
      <c r="D54" s="11" t="s">
        <v>294</v>
      </c>
      <c r="E54" s="11" t="s">
        <v>295</v>
      </c>
      <c r="F54" s="11" t="s">
        <v>237</v>
      </c>
      <c r="G54" s="11" t="s">
        <v>75</v>
      </c>
      <c r="H54" s="11"/>
      <c r="I54" s="11" t="s">
        <v>296</v>
      </c>
      <c r="J54" s="11" t="s">
        <v>297</v>
      </c>
      <c r="K54" s="11"/>
      <c r="L54" s="11" t="s">
        <v>70</v>
      </c>
      <c r="M54" s="11" t="s">
        <v>71</v>
      </c>
      <c r="N54" s="11" t="s">
        <v>72</v>
      </c>
      <c r="O54" s="11" t="s">
        <v>19</v>
      </c>
      <c r="P54" s="13"/>
      <c r="Q54" s="13"/>
      <c r="R54" s="13"/>
      <c r="S54" s="13"/>
      <c r="T54" s="11" t="s">
        <v>19</v>
      </c>
      <c r="U54" s="13"/>
      <c r="V54" s="13"/>
      <c r="W54" s="13"/>
      <c r="X54" s="13"/>
      <c r="Y54" s="13"/>
      <c r="Z54" s="13"/>
      <c r="AA54" s="13"/>
    </row>
    <row r="55" spans="1:27" ht="30" x14ac:dyDescent="0.25">
      <c r="A55" s="11" t="s">
        <v>298</v>
      </c>
      <c r="B55" s="12" t="s">
        <v>293</v>
      </c>
      <c r="C55" s="11" t="s">
        <v>146</v>
      </c>
      <c r="D55" s="11" t="s">
        <v>299</v>
      </c>
      <c r="E55" s="11" t="s">
        <v>300</v>
      </c>
      <c r="F55" s="11" t="s">
        <v>237</v>
      </c>
      <c r="G55" s="11" t="s">
        <v>94</v>
      </c>
      <c r="H55" s="11"/>
      <c r="I55" s="11" t="s">
        <v>301</v>
      </c>
      <c r="J55" s="11" t="s">
        <v>302</v>
      </c>
      <c r="K55" s="11"/>
      <c r="L55" s="11" t="s">
        <v>70</v>
      </c>
      <c r="M55" s="11" t="s">
        <v>71</v>
      </c>
      <c r="N55" s="11" t="s">
        <v>72</v>
      </c>
      <c r="O55" s="11" t="s">
        <v>19</v>
      </c>
      <c r="P55" s="13"/>
      <c r="Q55" s="13"/>
      <c r="R55" s="13"/>
      <c r="S55" s="13"/>
      <c r="T55" s="11" t="s">
        <v>19</v>
      </c>
      <c r="U55" s="13"/>
      <c r="V55" s="13"/>
      <c r="W55" s="13"/>
      <c r="X55" s="13"/>
      <c r="Y55" s="13"/>
      <c r="Z55" s="13"/>
      <c r="AA55" s="13"/>
    </row>
    <row r="56" spans="1:27" ht="15.75" x14ac:dyDescent="0.25">
      <c r="A56" s="53" t="s">
        <v>303</v>
      </c>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5"/>
    </row>
    <row r="57" spans="1:27" ht="60" x14ac:dyDescent="0.25">
      <c r="A57" s="11" t="s">
        <v>304</v>
      </c>
      <c r="B57" s="12" t="s">
        <v>62</v>
      </c>
      <c r="C57" s="11" t="s">
        <v>63</v>
      </c>
      <c r="D57" s="11" t="s">
        <v>64</v>
      </c>
      <c r="E57" s="11" t="s">
        <v>305</v>
      </c>
      <c r="F57" s="11" t="s">
        <v>206</v>
      </c>
      <c r="G57" s="11" t="s">
        <v>75</v>
      </c>
      <c r="H57" s="11"/>
      <c r="I57" s="11" t="s">
        <v>306</v>
      </c>
      <c r="J57" s="11" t="s">
        <v>307</v>
      </c>
      <c r="K57" s="11"/>
      <c r="L57" s="11" t="s">
        <v>70</v>
      </c>
      <c r="M57" s="11" t="s">
        <v>71</v>
      </c>
      <c r="N57" s="11" t="s">
        <v>72</v>
      </c>
      <c r="O57" s="11" t="s">
        <v>19</v>
      </c>
      <c r="P57" s="13"/>
      <c r="Q57" s="13"/>
      <c r="R57" s="13"/>
      <c r="S57" s="13"/>
      <c r="T57" s="11" t="s">
        <v>19</v>
      </c>
      <c r="U57" s="13"/>
      <c r="V57" s="13"/>
      <c r="W57" s="13"/>
      <c r="X57" s="13"/>
      <c r="Y57" s="13"/>
      <c r="Z57" s="13"/>
      <c r="AA57" s="13"/>
    </row>
    <row r="58" spans="1:27" ht="15.75" x14ac:dyDescent="0.25">
      <c r="A58" s="53" t="s">
        <v>308</v>
      </c>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5"/>
    </row>
    <row r="59" spans="1:27" ht="45" x14ac:dyDescent="0.25">
      <c r="A59" s="11" t="s">
        <v>309</v>
      </c>
      <c r="B59" s="12" t="s">
        <v>198</v>
      </c>
      <c r="C59" s="11" t="s">
        <v>146</v>
      </c>
      <c r="D59" s="11" t="s">
        <v>310</v>
      </c>
      <c r="E59" s="11" t="s">
        <v>311</v>
      </c>
      <c r="F59" s="11" t="s">
        <v>66</v>
      </c>
      <c r="G59" s="11" t="s">
        <v>94</v>
      </c>
      <c r="H59" s="11"/>
      <c r="I59" s="11" t="s">
        <v>312</v>
      </c>
      <c r="J59" s="11" t="s">
        <v>313</v>
      </c>
      <c r="K59" s="11"/>
      <c r="L59" s="11" t="s">
        <v>70</v>
      </c>
      <c r="M59" s="11" t="s">
        <v>71</v>
      </c>
      <c r="N59" s="11" t="s">
        <v>72</v>
      </c>
      <c r="O59" s="11" t="s">
        <v>19</v>
      </c>
      <c r="P59" s="13"/>
      <c r="Q59" s="13"/>
      <c r="R59" s="13"/>
      <c r="S59" s="13"/>
      <c r="T59" s="11" t="s">
        <v>19</v>
      </c>
      <c r="U59" s="13"/>
      <c r="V59" s="13"/>
      <c r="W59" s="13"/>
      <c r="X59" s="13"/>
      <c r="Y59" s="13"/>
      <c r="Z59" s="13"/>
      <c r="AA59" s="13"/>
    </row>
  </sheetData>
  <autoFilter ref="A1:AA1" xr:uid="{00000000-0009-0000-0000-000002000000}"/>
  <mergeCells count="5">
    <mergeCell ref="A58:AA58"/>
    <mergeCell ref="A56:AA56"/>
    <mergeCell ref="A39:AA39"/>
    <mergeCell ref="A2:AA2"/>
    <mergeCell ref="A31:AA31"/>
  </mergeCells>
  <dataValidations count="4">
    <dataValidation type="list" allowBlank="1" sqref="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9" xr:uid="{00000000-0002-0000-0200-000000000000}">
      <formula1>"Add new,Update,Delete"</formula1>
    </dataValidation>
    <dataValidation type="list" allowBlank="1"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9" xr:uid="{00000000-0002-0000-0200-000001000000}">
      <formula1>"By AI,By Manual"</formula1>
    </dataValidation>
    <dataValidation type="list" allowBlank="1" sqref="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9" xr:uid="{00000000-0002-0000-0200-000002000000}">
      <formula1>"Auto,Manual"</formula1>
    </dataValidation>
    <dataValidation type="list" allowBlank="1" sqref="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9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T201 T202 T203 T204 T205 T206 T207 T209" xr:uid="{00000000-0002-0000-0200-000003000000}">
      <formula1>"Untested,Pass,Fail,N/A"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09"/>
  <sheetViews>
    <sheetView workbookViewId="0">
      <pane ySplit="1" topLeftCell="A5" activePane="bottomLeft" state="frozen"/>
      <selection pane="bottomLeft"/>
    </sheetView>
  </sheetViews>
  <sheetFormatPr defaultRowHeight="15" x14ac:dyDescent="0.25"/>
  <cols>
    <col min="1" max="1" width="16" customWidth="1"/>
    <col min="2" max="2" width="22" customWidth="1"/>
    <col min="3" max="3" width="12" customWidth="1"/>
    <col min="4" max="4" width="22" customWidth="1"/>
    <col min="5" max="5" width="35" customWidth="1"/>
    <col min="6" max="6" width="14" customWidth="1"/>
    <col min="7" max="7" width="10" customWidth="1"/>
    <col min="8" max="8" width="30" customWidth="1"/>
    <col min="9" max="9" width="45" customWidth="1"/>
    <col min="10" max="11" width="40" customWidth="1"/>
    <col min="12" max="12" width="12" customWidth="1"/>
    <col min="13" max="14" width="14" customWidth="1"/>
    <col min="15" max="15" width="10" customWidth="1"/>
    <col min="16" max="16" width="12" customWidth="1"/>
    <col min="17" max="17" width="10" customWidth="1"/>
    <col min="18" max="18" width="14" customWidth="1"/>
    <col min="19" max="19" width="35" customWidth="1"/>
    <col min="20" max="20" width="10" customWidth="1"/>
    <col min="21" max="21" width="12" customWidth="1"/>
    <col min="22" max="22" width="10" customWidth="1"/>
    <col min="23" max="23" width="14" customWidth="1"/>
    <col min="24" max="24" width="35" customWidth="1"/>
    <col min="25" max="25" width="30" customWidth="1"/>
    <col min="26" max="26" width="15" customWidth="1"/>
    <col min="27" max="27" width="35" customWidth="1"/>
  </cols>
  <sheetData>
    <row r="1" spans="1:27" ht="30" customHeight="1" x14ac:dyDescent="0.25">
      <c r="A1" s="8" t="s">
        <v>33</v>
      </c>
      <c r="B1" s="9" t="s">
        <v>34</v>
      </c>
      <c r="C1" s="8" t="s">
        <v>35</v>
      </c>
      <c r="D1" s="8" t="s">
        <v>36</v>
      </c>
      <c r="E1" s="8" t="s">
        <v>37</v>
      </c>
      <c r="F1" s="8" t="s">
        <v>38</v>
      </c>
      <c r="G1" s="8" t="s">
        <v>39</v>
      </c>
      <c r="H1" s="8" t="s">
        <v>40</v>
      </c>
      <c r="I1" s="8" t="s">
        <v>41</v>
      </c>
      <c r="J1" s="8" t="s">
        <v>42</v>
      </c>
      <c r="K1" s="8" t="s">
        <v>43</v>
      </c>
      <c r="L1" s="8" t="s">
        <v>44</v>
      </c>
      <c r="M1" s="8" t="s">
        <v>45</v>
      </c>
      <c r="N1" s="8" t="s">
        <v>46</v>
      </c>
      <c r="O1" s="8" t="s">
        <v>47</v>
      </c>
      <c r="P1" s="8" t="s">
        <v>48</v>
      </c>
      <c r="Q1" s="8" t="s">
        <v>49</v>
      </c>
      <c r="R1" s="8" t="s">
        <v>50</v>
      </c>
      <c r="S1" s="8" t="s">
        <v>51</v>
      </c>
      <c r="T1" s="8" t="s">
        <v>52</v>
      </c>
      <c r="U1" s="8" t="s">
        <v>53</v>
      </c>
      <c r="V1" s="8" t="s">
        <v>54</v>
      </c>
      <c r="W1" s="8" t="s">
        <v>55</v>
      </c>
      <c r="X1" s="8" t="s">
        <v>56</v>
      </c>
      <c r="Y1" s="8" t="s">
        <v>57</v>
      </c>
      <c r="Z1" s="8" t="s">
        <v>58</v>
      </c>
      <c r="AA1" s="10" t="s">
        <v>59</v>
      </c>
    </row>
    <row r="2" spans="1:27" ht="15.75" x14ac:dyDescent="0.25">
      <c r="A2" s="53" t="s">
        <v>60</v>
      </c>
      <c r="B2" s="54"/>
      <c r="C2" s="54"/>
      <c r="D2" s="54"/>
      <c r="E2" s="54"/>
      <c r="F2" s="54"/>
      <c r="G2" s="54"/>
      <c r="H2" s="54"/>
      <c r="I2" s="54"/>
      <c r="J2" s="54"/>
      <c r="K2" s="54"/>
      <c r="L2" s="54"/>
      <c r="M2" s="54"/>
      <c r="N2" s="54"/>
      <c r="O2" s="54"/>
      <c r="P2" s="54"/>
      <c r="Q2" s="54"/>
      <c r="R2" s="54"/>
      <c r="S2" s="54"/>
      <c r="T2" s="54"/>
      <c r="U2" s="54"/>
      <c r="V2" s="54"/>
      <c r="W2" s="54"/>
      <c r="X2" s="54"/>
      <c r="Y2" s="54"/>
      <c r="Z2" s="54"/>
      <c r="AA2" s="55"/>
    </row>
    <row r="3" spans="1:27" ht="60" x14ac:dyDescent="0.25">
      <c r="A3" s="11" t="s">
        <v>314</v>
      </c>
      <c r="B3" s="12" t="s">
        <v>315</v>
      </c>
      <c r="C3" s="11" t="s">
        <v>316</v>
      </c>
      <c r="D3" s="11" t="s">
        <v>317</v>
      </c>
      <c r="E3" s="11" t="s">
        <v>318</v>
      </c>
      <c r="F3" s="11" t="s">
        <v>66</v>
      </c>
      <c r="G3" s="11" t="s">
        <v>75</v>
      </c>
      <c r="H3" s="11"/>
      <c r="I3" s="11" t="s">
        <v>319</v>
      </c>
      <c r="J3" s="11" t="s">
        <v>320</v>
      </c>
      <c r="K3" s="11"/>
      <c r="L3" s="11" t="s">
        <v>70</v>
      </c>
      <c r="M3" s="11" t="s">
        <v>71</v>
      </c>
      <c r="N3" s="11" t="s">
        <v>72</v>
      </c>
      <c r="O3" s="11" t="s">
        <v>19</v>
      </c>
      <c r="P3" s="13"/>
      <c r="Q3" s="13"/>
      <c r="R3" s="13"/>
      <c r="S3" s="13"/>
      <c r="T3" s="11" t="s">
        <v>19</v>
      </c>
      <c r="U3" s="13"/>
      <c r="V3" s="13"/>
      <c r="W3" s="13"/>
      <c r="X3" s="13"/>
      <c r="Y3" s="13"/>
      <c r="Z3" s="13"/>
      <c r="AA3" s="13"/>
    </row>
    <row r="4" spans="1:27" ht="30" x14ac:dyDescent="0.25">
      <c r="A4" s="11" t="s">
        <v>321</v>
      </c>
      <c r="B4" s="12" t="s">
        <v>315</v>
      </c>
      <c r="C4" s="11" t="s">
        <v>316</v>
      </c>
      <c r="D4" s="11" t="s">
        <v>317</v>
      </c>
      <c r="E4" s="11" t="s">
        <v>322</v>
      </c>
      <c r="F4" s="11" t="s">
        <v>66</v>
      </c>
      <c r="G4" s="11" t="s">
        <v>75</v>
      </c>
      <c r="H4" s="11"/>
      <c r="I4" s="11" t="s">
        <v>323</v>
      </c>
      <c r="J4" s="11" t="s">
        <v>324</v>
      </c>
      <c r="K4" s="11"/>
      <c r="L4" s="11" t="s">
        <v>70</v>
      </c>
      <c r="M4" s="11" t="s">
        <v>71</v>
      </c>
      <c r="N4" s="11" t="s">
        <v>72</v>
      </c>
      <c r="O4" s="11" t="s">
        <v>19</v>
      </c>
      <c r="P4" s="13"/>
      <c r="Q4" s="13"/>
      <c r="R4" s="13"/>
      <c r="S4" s="13"/>
      <c r="T4" s="11" t="s">
        <v>19</v>
      </c>
      <c r="U4" s="13"/>
      <c r="V4" s="13"/>
      <c r="W4" s="13"/>
      <c r="X4" s="13"/>
      <c r="Y4" s="13"/>
      <c r="Z4" s="13"/>
      <c r="AA4" s="13"/>
    </row>
    <row r="5" spans="1:27" ht="75" x14ac:dyDescent="0.25">
      <c r="A5" s="11" t="s">
        <v>325</v>
      </c>
      <c r="B5" s="12" t="s">
        <v>326</v>
      </c>
      <c r="C5" s="11" t="s">
        <v>327</v>
      </c>
      <c r="D5" s="11" t="s">
        <v>328</v>
      </c>
      <c r="E5" s="11" t="s">
        <v>329</v>
      </c>
      <c r="F5" s="11" t="s">
        <v>66</v>
      </c>
      <c r="G5" s="11" t="s">
        <v>75</v>
      </c>
      <c r="H5" s="11"/>
      <c r="I5" s="11" t="s">
        <v>330</v>
      </c>
      <c r="J5" s="11" t="s">
        <v>331</v>
      </c>
      <c r="K5" s="11"/>
      <c r="L5" s="11" t="s">
        <v>70</v>
      </c>
      <c r="M5" s="11" t="s">
        <v>71</v>
      </c>
      <c r="N5" s="11" t="s">
        <v>72</v>
      </c>
      <c r="O5" s="11" t="s">
        <v>19</v>
      </c>
      <c r="P5" s="13"/>
      <c r="Q5" s="13"/>
      <c r="R5" s="13"/>
      <c r="S5" s="13"/>
      <c r="T5" s="11" t="s">
        <v>19</v>
      </c>
      <c r="U5" s="13"/>
      <c r="V5" s="13"/>
      <c r="W5" s="13"/>
      <c r="X5" s="13"/>
      <c r="Y5" s="13"/>
      <c r="Z5" s="13"/>
      <c r="AA5" s="13"/>
    </row>
    <row r="6" spans="1:27" ht="75" x14ac:dyDescent="0.25">
      <c r="A6" s="11" t="s">
        <v>332</v>
      </c>
      <c r="B6" s="12" t="s">
        <v>333</v>
      </c>
      <c r="C6" s="11" t="s">
        <v>334</v>
      </c>
      <c r="D6" s="11" t="s">
        <v>335</v>
      </c>
      <c r="E6" s="11" t="s">
        <v>336</v>
      </c>
      <c r="F6" s="11" t="s">
        <v>66</v>
      </c>
      <c r="G6" s="11" t="s">
        <v>67</v>
      </c>
      <c r="H6" s="11"/>
      <c r="I6" s="11" t="s">
        <v>337</v>
      </c>
      <c r="J6" s="11" t="s">
        <v>338</v>
      </c>
      <c r="K6" s="11"/>
      <c r="L6" s="11" t="s">
        <v>70</v>
      </c>
      <c r="M6" s="11" t="s">
        <v>71</v>
      </c>
      <c r="N6" s="11" t="s">
        <v>72</v>
      </c>
      <c r="O6" s="11" t="s">
        <v>19</v>
      </c>
      <c r="P6" s="13"/>
      <c r="Q6" s="13"/>
      <c r="R6" s="13"/>
      <c r="S6" s="13"/>
      <c r="T6" s="11" t="s">
        <v>19</v>
      </c>
      <c r="U6" s="13"/>
      <c r="V6" s="13"/>
      <c r="W6" s="13"/>
      <c r="X6" s="13"/>
      <c r="Y6" s="13"/>
      <c r="Z6" s="13"/>
      <c r="AA6" s="13"/>
    </row>
    <row r="7" spans="1:27" ht="60" x14ac:dyDescent="0.25">
      <c r="A7" s="11" t="s">
        <v>339</v>
      </c>
      <c r="B7" s="12" t="s">
        <v>340</v>
      </c>
      <c r="C7" s="11" t="s">
        <v>341</v>
      </c>
      <c r="D7" s="11" t="s">
        <v>342</v>
      </c>
      <c r="E7" s="11" t="s">
        <v>343</v>
      </c>
      <c r="F7" s="11" t="s">
        <v>66</v>
      </c>
      <c r="G7" s="11" t="s">
        <v>75</v>
      </c>
      <c r="H7" s="11"/>
      <c r="I7" s="11" t="s">
        <v>344</v>
      </c>
      <c r="J7" s="11" t="s">
        <v>345</v>
      </c>
      <c r="K7" s="11"/>
      <c r="L7" s="11" t="s">
        <v>70</v>
      </c>
      <c r="M7" s="11" t="s">
        <v>71</v>
      </c>
      <c r="N7" s="11" t="s">
        <v>72</v>
      </c>
      <c r="O7" s="11" t="s">
        <v>19</v>
      </c>
      <c r="P7" s="13"/>
      <c r="Q7" s="13"/>
      <c r="R7" s="13"/>
      <c r="S7" s="13"/>
      <c r="T7" s="11" t="s">
        <v>19</v>
      </c>
      <c r="U7" s="13"/>
      <c r="V7" s="13"/>
      <c r="W7" s="13"/>
      <c r="X7" s="13"/>
      <c r="Y7" s="13"/>
      <c r="Z7" s="13"/>
      <c r="AA7" s="13"/>
    </row>
    <row r="8" spans="1:27" ht="45" x14ac:dyDescent="0.25">
      <c r="A8" s="11" t="s">
        <v>346</v>
      </c>
      <c r="B8" s="12" t="s">
        <v>340</v>
      </c>
      <c r="C8" s="11" t="s">
        <v>341</v>
      </c>
      <c r="D8" s="11" t="s">
        <v>342</v>
      </c>
      <c r="E8" s="11" t="s">
        <v>347</v>
      </c>
      <c r="F8" s="11" t="s">
        <v>66</v>
      </c>
      <c r="G8" s="11" t="s">
        <v>75</v>
      </c>
      <c r="H8" s="11"/>
      <c r="I8" s="11" t="s">
        <v>348</v>
      </c>
      <c r="J8" s="11" t="s">
        <v>349</v>
      </c>
      <c r="K8" s="11"/>
      <c r="L8" s="11" t="s">
        <v>70</v>
      </c>
      <c r="M8" s="11" t="s">
        <v>71</v>
      </c>
      <c r="N8" s="11" t="s">
        <v>72</v>
      </c>
      <c r="O8" s="11" t="s">
        <v>19</v>
      </c>
      <c r="P8" s="13"/>
      <c r="Q8" s="13"/>
      <c r="R8" s="13"/>
      <c r="S8" s="13"/>
      <c r="T8" s="11" t="s">
        <v>19</v>
      </c>
      <c r="U8" s="13"/>
      <c r="V8" s="13"/>
      <c r="W8" s="13"/>
      <c r="X8" s="13"/>
      <c r="Y8" s="13"/>
      <c r="Z8" s="13"/>
      <c r="AA8" s="13"/>
    </row>
    <row r="9" spans="1:27" ht="45" x14ac:dyDescent="0.25">
      <c r="A9" s="11" t="s">
        <v>350</v>
      </c>
      <c r="B9" s="12" t="s">
        <v>340</v>
      </c>
      <c r="C9" s="11" t="s">
        <v>341</v>
      </c>
      <c r="D9" s="11" t="s">
        <v>351</v>
      </c>
      <c r="E9" s="11" t="s">
        <v>352</v>
      </c>
      <c r="F9" s="11" t="s">
        <v>66</v>
      </c>
      <c r="G9" s="11" t="s">
        <v>75</v>
      </c>
      <c r="H9" s="11"/>
      <c r="I9" s="11" t="s">
        <v>353</v>
      </c>
      <c r="J9" s="11" t="s">
        <v>354</v>
      </c>
      <c r="K9" s="11"/>
      <c r="L9" s="11" t="s">
        <v>70</v>
      </c>
      <c r="M9" s="11" t="s">
        <v>71</v>
      </c>
      <c r="N9" s="11" t="s">
        <v>72</v>
      </c>
      <c r="O9" s="11" t="s">
        <v>19</v>
      </c>
      <c r="P9" s="13"/>
      <c r="Q9" s="13"/>
      <c r="R9" s="13"/>
      <c r="S9" s="13"/>
      <c r="T9" s="11" t="s">
        <v>19</v>
      </c>
      <c r="U9" s="13"/>
      <c r="V9" s="13"/>
      <c r="W9" s="13"/>
      <c r="X9" s="13"/>
      <c r="Y9" s="13"/>
      <c r="Z9" s="13"/>
      <c r="AA9" s="13"/>
    </row>
    <row r="10" spans="1:27" ht="45" x14ac:dyDescent="0.25">
      <c r="A10" s="11" t="s">
        <v>355</v>
      </c>
      <c r="B10" s="12" t="s">
        <v>340</v>
      </c>
      <c r="C10" s="11" t="s">
        <v>341</v>
      </c>
      <c r="D10" s="11" t="s">
        <v>351</v>
      </c>
      <c r="E10" s="11" t="s">
        <v>356</v>
      </c>
      <c r="F10" s="11" t="s">
        <v>66</v>
      </c>
      <c r="G10" s="11" t="s">
        <v>75</v>
      </c>
      <c r="H10" s="11"/>
      <c r="I10" s="11" t="s">
        <v>357</v>
      </c>
      <c r="J10" s="11" t="s">
        <v>358</v>
      </c>
      <c r="K10" s="11"/>
      <c r="L10" s="11" t="s">
        <v>70</v>
      </c>
      <c r="M10" s="11" t="s">
        <v>71</v>
      </c>
      <c r="N10" s="11" t="s">
        <v>72</v>
      </c>
      <c r="O10" s="11" t="s">
        <v>19</v>
      </c>
      <c r="P10" s="13"/>
      <c r="Q10" s="13"/>
      <c r="R10" s="13"/>
      <c r="S10" s="13"/>
      <c r="T10" s="11" t="s">
        <v>19</v>
      </c>
      <c r="U10" s="13"/>
      <c r="V10" s="13"/>
      <c r="W10" s="13"/>
      <c r="X10" s="13"/>
      <c r="Y10" s="13"/>
      <c r="Z10" s="13"/>
      <c r="AA10" s="13"/>
    </row>
    <row r="11" spans="1:27" ht="60" x14ac:dyDescent="0.25">
      <c r="A11" s="11" t="s">
        <v>359</v>
      </c>
      <c r="B11" s="12" t="s">
        <v>340</v>
      </c>
      <c r="C11" s="11" t="s">
        <v>341</v>
      </c>
      <c r="D11" s="11" t="s">
        <v>351</v>
      </c>
      <c r="E11" s="11" t="s">
        <v>360</v>
      </c>
      <c r="F11" s="11" t="s">
        <v>66</v>
      </c>
      <c r="G11" s="11" t="s">
        <v>75</v>
      </c>
      <c r="H11" s="11"/>
      <c r="I11" s="11" t="s">
        <v>361</v>
      </c>
      <c r="J11" s="11" t="s">
        <v>362</v>
      </c>
      <c r="K11" s="11"/>
      <c r="L11" s="11" t="s">
        <v>70</v>
      </c>
      <c r="M11" s="11" t="s">
        <v>71</v>
      </c>
      <c r="N11" s="11" t="s">
        <v>72</v>
      </c>
      <c r="O11" s="11" t="s">
        <v>19</v>
      </c>
      <c r="P11" s="13"/>
      <c r="Q11" s="13"/>
      <c r="R11" s="13"/>
      <c r="S11" s="13"/>
      <c r="T11" s="11" t="s">
        <v>19</v>
      </c>
      <c r="U11" s="13"/>
      <c r="V11" s="13"/>
      <c r="W11" s="13"/>
      <c r="X11" s="13"/>
      <c r="Y11" s="13"/>
      <c r="Z11" s="13"/>
      <c r="AA11" s="13"/>
    </row>
    <row r="12" spans="1:27" ht="60" x14ac:dyDescent="0.25">
      <c r="A12" s="11" t="s">
        <v>363</v>
      </c>
      <c r="B12" s="12" t="s">
        <v>340</v>
      </c>
      <c r="C12" s="11" t="s">
        <v>341</v>
      </c>
      <c r="D12" s="11" t="s">
        <v>351</v>
      </c>
      <c r="E12" s="11" t="s">
        <v>364</v>
      </c>
      <c r="F12" s="11" t="s">
        <v>66</v>
      </c>
      <c r="G12" s="11" t="s">
        <v>75</v>
      </c>
      <c r="H12" s="11"/>
      <c r="I12" s="11" t="s">
        <v>365</v>
      </c>
      <c r="J12" s="11" t="s">
        <v>366</v>
      </c>
      <c r="K12" s="11"/>
      <c r="L12" s="11" t="s">
        <v>70</v>
      </c>
      <c r="M12" s="11" t="s">
        <v>71</v>
      </c>
      <c r="N12" s="11" t="s">
        <v>72</v>
      </c>
      <c r="O12" s="11" t="s">
        <v>19</v>
      </c>
      <c r="P12" s="13"/>
      <c r="Q12" s="13"/>
      <c r="R12" s="13"/>
      <c r="S12" s="13"/>
      <c r="T12" s="11" t="s">
        <v>19</v>
      </c>
      <c r="U12" s="13"/>
      <c r="V12" s="13"/>
      <c r="W12" s="13"/>
      <c r="X12" s="13"/>
      <c r="Y12" s="13"/>
      <c r="Z12" s="13"/>
      <c r="AA12" s="13"/>
    </row>
    <row r="13" spans="1:27" ht="60" x14ac:dyDescent="0.25">
      <c r="A13" s="11" t="s">
        <v>367</v>
      </c>
      <c r="B13" s="12" t="s">
        <v>340</v>
      </c>
      <c r="C13" s="11" t="s">
        <v>341</v>
      </c>
      <c r="D13" s="11" t="s">
        <v>351</v>
      </c>
      <c r="E13" s="11" t="s">
        <v>368</v>
      </c>
      <c r="F13" s="11" t="s">
        <v>66</v>
      </c>
      <c r="G13" s="11" t="s">
        <v>75</v>
      </c>
      <c r="H13" s="11"/>
      <c r="I13" s="11" t="s">
        <v>369</v>
      </c>
      <c r="J13" s="11" t="s">
        <v>370</v>
      </c>
      <c r="K13" s="11"/>
      <c r="L13" s="11" t="s">
        <v>70</v>
      </c>
      <c r="M13" s="11" t="s">
        <v>71</v>
      </c>
      <c r="N13" s="11" t="s">
        <v>72</v>
      </c>
      <c r="O13" s="11" t="s">
        <v>19</v>
      </c>
      <c r="P13" s="13"/>
      <c r="Q13" s="13"/>
      <c r="R13" s="13"/>
      <c r="S13" s="13"/>
      <c r="T13" s="11" t="s">
        <v>19</v>
      </c>
      <c r="U13" s="13"/>
      <c r="V13" s="13"/>
      <c r="W13" s="13"/>
      <c r="X13" s="13"/>
      <c r="Y13" s="13"/>
      <c r="Z13" s="13"/>
      <c r="AA13" s="13"/>
    </row>
    <row r="14" spans="1:27" ht="60" x14ac:dyDescent="0.25">
      <c r="A14" s="11" t="s">
        <v>371</v>
      </c>
      <c r="B14" s="12" t="s">
        <v>340</v>
      </c>
      <c r="C14" s="11" t="s">
        <v>372</v>
      </c>
      <c r="D14" s="11" t="s">
        <v>351</v>
      </c>
      <c r="E14" s="11" t="s">
        <v>373</v>
      </c>
      <c r="F14" s="11" t="s">
        <v>66</v>
      </c>
      <c r="G14" s="11" t="s">
        <v>75</v>
      </c>
      <c r="H14" s="11"/>
      <c r="I14" s="11" t="s">
        <v>374</v>
      </c>
      <c r="J14" s="11" t="s">
        <v>375</v>
      </c>
      <c r="K14" s="11"/>
      <c r="L14" s="11" t="s">
        <v>70</v>
      </c>
      <c r="M14" s="11" t="s">
        <v>71</v>
      </c>
      <c r="N14" s="11" t="s">
        <v>72</v>
      </c>
      <c r="O14" s="11" t="s">
        <v>19</v>
      </c>
      <c r="P14" s="13"/>
      <c r="Q14" s="13"/>
      <c r="R14" s="13"/>
      <c r="S14" s="13"/>
      <c r="T14" s="11" t="s">
        <v>19</v>
      </c>
      <c r="U14" s="13"/>
      <c r="V14" s="13"/>
      <c r="W14" s="13"/>
      <c r="X14" s="13"/>
      <c r="Y14" s="13"/>
      <c r="Z14" s="13"/>
      <c r="AA14" s="13"/>
    </row>
    <row r="15" spans="1:27" ht="60" x14ac:dyDescent="0.25">
      <c r="A15" s="11" t="s">
        <v>376</v>
      </c>
      <c r="B15" s="12" t="s">
        <v>340</v>
      </c>
      <c r="C15" s="11" t="s">
        <v>341</v>
      </c>
      <c r="D15" s="11" t="s">
        <v>351</v>
      </c>
      <c r="E15" s="11" t="s">
        <v>377</v>
      </c>
      <c r="F15" s="11" t="s">
        <v>66</v>
      </c>
      <c r="G15" s="11" t="s">
        <v>94</v>
      </c>
      <c r="H15" s="11"/>
      <c r="I15" s="11" t="s">
        <v>378</v>
      </c>
      <c r="J15" s="11" t="s">
        <v>379</v>
      </c>
      <c r="K15" s="11"/>
      <c r="L15" s="11" t="s">
        <v>70</v>
      </c>
      <c r="M15" s="11" t="s">
        <v>71</v>
      </c>
      <c r="N15" s="11" t="s">
        <v>72</v>
      </c>
      <c r="O15" s="11" t="s">
        <v>19</v>
      </c>
      <c r="P15" s="13"/>
      <c r="Q15" s="13"/>
      <c r="R15" s="13"/>
      <c r="S15" s="13"/>
      <c r="T15" s="11" t="s">
        <v>19</v>
      </c>
      <c r="U15" s="13"/>
      <c r="V15" s="13"/>
      <c r="W15" s="13"/>
      <c r="X15" s="13"/>
      <c r="Y15" s="13"/>
      <c r="Z15" s="13"/>
      <c r="AA15" s="13"/>
    </row>
    <row r="16" spans="1:27" ht="45" x14ac:dyDescent="0.25">
      <c r="A16" s="11" t="s">
        <v>380</v>
      </c>
      <c r="B16" s="12" t="s">
        <v>340</v>
      </c>
      <c r="C16" s="11" t="s">
        <v>341</v>
      </c>
      <c r="D16" s="11" t="s">
        <v>381</v>
      </c>
      <c r="E16" s="11" t="s">
        <v>382</v>
      </c>
      <c r="F16" s="11" t="s">
        <v>66</v>
      </c>
      <c r="G16" s="11" t="s">
        <v>94</v>
      </c>
      <c r="H16" s="11"/>
      <c r="I16" s="11" t="s">
        <v>383</v>
      </c>
      <c r="J16" s="11" t="s">
        <v>384</v>
      </c>
      <c r="K16" s="11"/>
      <c r="L16" s="11" t="s">
        <v>70</v>
      </c>
      <c r="M16" s="11" t="s">
        <v>71</v>
      </c>
      <c r="N16" s="11" t="s">
        <v>72</v>
      </c>
      <c r="O16" s="11" t="s">
        <v>19</v>
      </c>
      <c r="P16" s="13"/>
      <c r="Q16" s="13"/>
      <c r="R16" s="13"/>
      <c r="S16" s="13"/>
      <c r="T16" s="11" t="s">
        <v>19</v>
      </c>
      <c r="U16" s="13"/>
      <c r="V16" s="13"/>
      <c r="W16" s="13"/>
      <c r="X16" s="13"/>
      <c r="Y16" s="13"/>
      <c r="Z16" s="13"/>
      <c r="AA16" s="13"/>
    </row>
    <row r="17" spans="1:27" ht="30" x14ac:dyDescent="0.25">
      <c r="A17" s="11" t="s">
        <v>385</v>
      </c>
      <c r="B17" s="12" t="s">
        <v>340</v>
      </c>
      <c r="C17" s="11" t="s">
        <v>386</v>
      </c>
      <c r="D17" s="11" t="s">
        <v>387</v>
      </c>
      <c r="E17" s="11" t="s">
        <v>388</v>
      </c>
      <c r="F17" s="11" t="s">
        <v>66</v>
      </c>
      <c r="G17" s="11" t="s">
        <v>75</v>
      </c>
      <c r="H17" s="11"/>
      <c r="I17" s="11" t="s">
        <v>389</v>
      </c>
      <c r="J17" s="11" t="s">
        <v>390</v>
      </c>
      <c r="K17" s="11"/>
      <c r="L17" s="11" t="s">
        <v>70</v>
      </c>
      <c r="M17" s="11" t="s">
        <v>71</v>
      </c>
      <c r="N17" s="11" t="s">
        <v>72</v>
      </c>
      <c r="O17" s="11" t="s">
        <v>19</v>
      </c>
      <c r="P17" s="13"/>
      <c r="Q17" s="13"/>
      <c r="R17" s="13"/>
      <c r="S17" s="13"/>
      <c r="T17" s="11" t="s">
        <v>19</v>
      </c>
      <c r="U17" s="13"/>
      <c r="V17" s="13"/>
      <c r="W17" s="13"/>
      <c r="X17" s="13"/>
      <c r="Y17" s="13"/>
      <c r="Z17" s="13"/>
      <c r="AA17" s="13"/>
    </row>
    <row r="18" spans="1:27" ht="60" x14ac:dyDescent="0.25">
      <c r="A18" s="11" t="s">
        <v>391</v>
      </c>
      <c r="B18" s="12" t="s">
        <v>340</v>
      </c>
      <c r="C18" s="11" t="s">
        <v>392</v>
      </c>
      <c r="D18" s="11" t="s">
        <v>387</v>
      </c>
      <c r="E18" s="11" t="s">
        <v>393</v>
      </c>
      <c r="F18" s="11" t="s">
        <v>66</v>
      </c>
      <c r="G18" s="11" t="s">
        <v>75</v>
      </c>
      <c r="H18" s="11"/>
      <c r="I18" s="11" t="s">
        <v>394</v>
      </c>
      <c r="J18" s="11" t="s">
        <v>395</v>
      </c>
      <c r="K18" s="11"/>
      <c r="L18" s="11" t="s">
        <v>70</v>
      </c>
      <c r="M18" s="11" t="s">
        <v>71</v>
      </c>
      <c r="N18" s="11" t="s">
        <v>72</v>
      </c>
      <c r="O18" s="11" t="s">
        <v>19</v>
      </c>
      <c r="P18" s="13"/>
      <c r="Q18" s="13"/>
      <c r="R18" s="13"/>
      <c r="S18" s="13"/>
      <c r="T18" s="11" t="s">
        <v>19</v>
      </c>
      <c r="U18" s="13"/>
      <c r="V18" s="13"/>
      <c r="W18" s="13"/>
      <c r="X18" s="13"/>
      <c r="Y18" s="13"/>
      <c r="Z18" s="13"/>
      <c r="AA18" s="13"/>
    </row>
    <row r="19" spans="1:27" ht="60" x14ac:dyDescent="0.25">
      <c r="A19" s="11" t="s">
        <v>396</v>
      </c>
      <c r="B19" s="12" t="s">
        <v>340</v>
      </c>
      <c r="C19" s="11" t="s">
        <v>386</v>
      </c>
      <c r="D19" s="11" t="s">
        <v>387</v>
      </c>
      <c r="E19" s="11" t="s">
        <v>397</v>
      </c>
      <c r="F19" s="11" t="s">
        <v>66</v>
      </c>
      <c r="G19" s="11" t="s">
        <v>94</v>
      </c>
      <c r="H19" s="11"/>
      <c r="I19" s="11" t="s">
        <v>398</v>
      </c>
      <c r="J19" s="11" t="s">
        <v>399</v>
      </c>
      <c r="K19" s="11"/>
      <c r="L19" s="11" t="s">
        <v>70</v>
      </c>
      <c r="M19" s="11" t="s">
        <v>71</v>
      </c>
      <c r="N19" s="11" t="s">
        <v>72</v>
      </c>
      <c r="O19" s="11" t="s">
        <v>19</v>
      </c>
      <c r="P19" s="13"/>
      <c r="Q19" s="13"/>
      <c r="R19" s="13"/>
      <c r="S19" s="13"/>
      <c r="T19" s="11" t="s">
        <v>19</v>
      </c>
      <c r="U19" s="13"/>
      <c r="V19" s="13"/>
      <c r="W19" s="13"/>
      <c r="X19" s="13"/>
      <c r="Y19" s="13"/>
      <c r="Z19" s="13"/>
      <c r="AA19" s="13"/>
    </row>
    <row r="20" spans="1:27" ht="45" x14ac:dyDescent="0.25">
      <c r="A20" s="11" t="s">
        <v>400</v>
      </c>
      <c r="B20" s="12" t="s">
        <v>340</v>
      </c>
      <c r="C20" s="11" t="s">
        <v>146</v>
      </c>
      <c r="D20" s="11" t="s">
        <v>147</v>
      </c>
      <c r="E20" s="11" t="s">
        <v>401</v>
      </c>
      <c r="F20" s="11" t="s">
        <v>66</v>
      </c>
      <c r="G20" s="11" t="s">
        <v>75</v>
      </c>
      <c r="H20" s="11"/>
      <c r="I20" s="11" t="s">
        <v>402</v>
      </c>
      <c r="J20" s="11" t="s">
        <v>403</v>
      </c>
      <c r="K20" s="11"/>
      <c r="L20" s="11" t="s">
        <v>70</v>
      </c>
      <c r="M20" s="11" t="s">
        <v>71</v>
      </c>
      <c r="N20" s="11" t="s">
        <v>72</v>
      </c>
      <c r="O20" s="11" t="s">
        <v>19</v>
      </c>
      <c r="P20" s="13"/>
      <c r="Q20" s="13"/>
      <c r="R20" s="13"/>
      <c r="S20" s="13"/>
      <c r="T20" s="11" t="s">
        <v>19</v>
      </c>
      <c r="U20" s="13"/>
      <c r="V20" s="13"/>
      <c r="W20" s="13"/>
      <c r="X20" s="13"/>
      <c r="Y20" s="13"/>
      <c r="Z20" s="13"/>
      <c r="AA20" s="13"/>
    </row>
    <row r="21" spans="1:27" ht="60" x14ac:dyDescent="0.25">
      <c r="A21" s="11" t="s">
        <v>404</v>
      </c>
      <c r="B21" s="12" t="s">
        <v>340</v>
      </c>
      <c r="C21" s="11" t="s">
        <v>146</v>
      </c>
      <c r="D21" s="11" t="s">
        <v>147</v>
      </c>
      <c r="E21" s="11" t="s">
        <v>405</v>
      </c>
      <c r="F21" s="11" t="s">
        <v>66</v>
      </c>
      <c r="G21" s="11" t="s">
        <v>75</v>
      </c>
      <c r="H21" s="11"/>
      <c r="I21" s="11" t="s">
        <v>406</v>
      </c>
      <c r="J21" s="11" t="s">
        <v>150</v>
      </c>
      <c r="K21" s="11"/>
      <c r="L21" s="11" t="s">
        <v>70</v>
      </c>
      <c r="M21" s="11" t="s">
        <v>71</v>
      </c>
      <c r="N21" s="11" t="s">
        <v>72</v>
      </c>
      <c r="O21" s="11" t="s">
        <v>19</v>
      </c>
      <c r="P21" s="13"/>
      <c r="Q21" s="13"/>
      <c r="R21" s="13"/>
      <c r="S21" s="13"/>
      <c r="T21" s="11" t="s">
        <v>19</v>
      </c>
      <c r="U21" s="13"/>
      <c r="V21" s="13"/>
      <c r="W21" s="13"/>
      <c r="X21" s="13"/>
      <c r="Y21" s="13"/>
      <c r="Z21" s="13"/>
      <c r="AA21" s="13"/>
    </row>
    <row r="22" spans="1:27" ht="60" x14ac:dyDescent="0.25">
      <c r="A22" s="11" t="s">
        <v>407</v>
      </c>
      <c r="B22" s="12" t="s">
        <v>340</v>
      </c>
      <c r="C22" s="11" t="s">
        <v>146</v>
      </c>
      <c r="D22" s="11" t="s">
        <v>147</v>
      </c>
      <c r="E22" s="11" t="s">
        <v>408</v>
      </c>
      <c r="F22" s="11" t="s">
        <v>66</v>
      </c>
      <c r="G22" s="11" t="s">
        <v>75</v>
      </c>
      <c r="H22" s="11"/>
      <c r="I22" s="11" t="s">
        <v>409</v>
      </c>
      <c r="J22" s="11" t="s">
        <v>150</v>
      </c>
      <c r="K22" s="11"/>
      <c r="L22" s="11" t="s">
        <v>70</v>
      </c>
      <c r="M22" s="11" t="s">
        <v>71</v>
      </c>
      <c r="N22" s="11" t="s">
        <v>72</v>
      </c>
      <c r="O22" s="11" t="s">
        <v>19</v>
      </c>
      <c r="P22" s="13"/>
      <c r="Q22" s="13"/>
      <c r="R22" s="13"/>
      <c r="S22" s="13"/>
      <c r="T22" s="11" t="s">
        <v>19</v>
      </c>
      <c r="U22" s="13"/>
      <c r="V22" s="13"/>
      <c r="W22" s="13"/>
      <c r="X22" s="13"/>
      <c r="Y22" s="13"/>
      <c r="Z22" s="13"/>
      <c r="AA22" s="13"/>
    </row>
    <row r="23" spans="1:27" ht="105" x14ac:dyDescent="0.25">
      <c r="A23" s="11" t="s">
        <v>410</v>
      </c>
      <c r="B23" s="12" t="s">
        <v>315</v>
      </c>
      <c r="C23" s="11" t="s">
        <v>411</v>
      </c>
      <c r="D23" s="11" t="s">
        <v>412</v>
      </c>
      <c r="E23" s="11" t="s">
        <v>413</v>
      </c>
      <c r="F23" s="11" t="s">
        <v>66</v>
      </c>
      <c r="G23" s="11" t="s">
        <v>75</v>
      </c>
      <c r="H23" s="11"/>
      <c r="I23" s="11" t="s">
        <v>414</v>
      </c>
      <c r="J23" s="11" t="s">
        <v>415</v>
      </c>
      <c r="K23" s="11"/>
      <c r="L23" s="11" t="s">
        <v>70</v>
      </c>
      <c r="M23" s="11" t="s">
        <v>71</v>
      </c>
      <c r="N23" s="11" t="s">
        <v>72</v>
      </c>
      <c r="O23" s="11" t="s">
        <v>19</v>
      </c>
      <c r="P23" s="13"/>
      <c r="Q23" s="13"/>
      <c r="R23" s="13"/>
      <c r="S23" s="13"/>
      <c r="T23" s="11" t="s">
        <v>19</v>
      </c>
      <c r="U23" s="13"/>
      <c r="V23" s="13"/>
      <c r="W23" s="13"/>
      <c r="X23" s="13"/>
      <c r="Y23" s="13"/>
      <c r="Z23" s="13"/>
      <c r="AA23" s="13"/>
    </row>
    <row r="24" spans="1:27" ht="105" x14ac:dyDescent="0.25">
      <c r="A24" s="11" t="s">
        <v>416</v>
      </c>
      <c r="B24" s="12" t="s">
        <v>417</v>
      </c>
      <c r="C24" s="11" t="s">
        <v>418</v>
      </c>
      <c r="D24" s="11" t="s">
        <v>419</v>
      </c>
      <c r="E24" s="11" t="s">
        <v>420</v>
      </c>
      <c r="F24" s="11" t="s">
        <v>66</v>
      </c>
      <c r="G24" s="11" t="s">
        <v>75</v>
      </c>
      <c r="H24" s="11"/>
      <c r="I24" s="11" t="s">
        <v>421</v>
      </c>
      <c r="J24" s="11" t="s">
        <v>422</v>
      </c>
      <c r="K24" s="11"/>
      <c r="L24" s="11" t="s">
        <v>70</v>
      </c>
      <c r="M24" s="11" t="s">
        <v>71</v>
      </c>
      <c r="N24" s="11" t="s">
        <v>72</v>
      </c>
      <c r="O24" s="11" t="s">
        <v>19</v>
      </c>
      <c r="P24" s="13"/>
      <c r="Q24" s="13"/>
      <c r="R24" s="13"/>
      <c r="S24" s="13"/>
      <c r="T24" s="11" t="s">
        <v>19</v>
      </c>
      <c r="U24" s="13"/>
      <c r="V24" s="13"/>
      <c r="W24" s="13"/>
      <c r="X24" s="13"/>
      <c r="Y24" s="13"/>
      <c r="Z24" s="13"/>
      <c r="AA24" s="13"/>
    </row>
    <row r="25" spans="1:27" ht="60" x14ac:dyDescent="0.25">
      <c r="A25" s="11" t="s">
        <v>423</v>
      </c>
      <c r="B25" s="12" t="s">
        <v>424</v>
      </c>
      <c r="C25" s="11" t="s">
        <v>411</v>
      </c>
      <c r="D25" s="11" t="s">
        <v>425</v>
      </c>
      <c r="E25" s="11" t="s">
        <v>426</v>
      </c>
      <c r="F25" s="11" t="s">
        <v>66</v>
      </c>
      <c r="G25" s="11" t="s">
        <v>75</v>
      </c>
      <c r="H25" s="11"/>
      <c r="I25" s="11" t="s">
        <v>427</v>
      </c>
      <c r="J25" s="11" t="s">
        <v>428</v>
      </c>
      <c r="K25" s="11"/>
      <c r="L25" s="11" t="s">
        <v>70</v>
      </c>
      <c r="M25" s="11" t="s">
        <v>71</v>
      </c>
      <c r="N25" s="11" t="s">
        <v>72</v>
      </c>
      <c r="O25" s="11" t="s">
        <v>19</v>
      </c>
      <c r="P25" s="13"/>
      <c r="Q25" s="13"/>
      <c r="R25" s="13"/>
      <c r="S25" s="13"/>
      <c r="T25" s="11" t="s">
        <v>19</v>
      </c>
      <c r="U25" s="13"/>
      <c r="V25" s="13"/>
      <c r="W25" s="13"/>
      <c r="X25" s="13"/>
      <c r="Y25" s="13"/>
      <c r="Z25" s="13"/>
      <c r="AA25" s="13"/>
    </row>
    <row r="26" spans="1:27" ht="45" x14ac:dyDescent="0.25">
      <c r="A26" s="11" t="s">
        <v>429</v>
      </c>
      <c r="B26" s="12" t="s">
        <v>424</v>
      </c>
      <c r="C26" s="11" t="s">
        <v>411</v>
      </c>
      <c r="D26" s="11" t="s">
        <v>425</v>
      </c>
      <c r="E26" s="11" t="s">
        <v>430</v>
      </c>
      <c r="F26" s="11" t="s">
        <v>66</v>
      </c>
      <c r="G26" s="11" t="s">
        <v>75</v>
      </c>
      <c r="H26" s="11"/>
      <c r="I26" s="11" t="s">
        <v>431</v>
      </c>
      <c r="J26" s="11" t="s">
        <v>432</v>
      </c>
      <c r="K26" s="11"/>
      <c r="L26" s="11" t="s">
        <v>70</v>
      </c>
      <c r="M26" s="11" t="s">
        <v>71</v>
      </c>
      <c r="N26" s="11" t="s">
        <v>72</v>
      </c>
      <c r="O26" s="11" t="s">
        <v>19</v>
      </c>
      <c r="P26" s="13"/>
      <c r="Q26" s="13"/>
      <c r="R26" s="13"/>
      <c r="S26" s="13"/>
      <c r="T26" s="11" t="s">
        <v>19</v>
      </c>
      <c r="U26" s="13"/>
      <c r="V26" s="13"/>
      <c r="W26" s="13"/>
      <c r="X26" s="13"/>
      <c r="Y26" s="13"/>
      <c r="Z26" s="13"/>
      <c r="AA26" s="13"/>
    </row>
    <row r="27" spans="1:27" ht="45" x14ac:dyDescent="0.25">
      <c r="A27" s="11" t="s">
        <v>433</v>
      </c>
      <c r="B27" s="12" t="s">
        <v>424</v>
      </c>
      <c r="C27" s="11" t="s">
        <v>411</v>
      </c>
      <c r="D27" s="11" t="s">
        <v>425</v>
      </c>
      <c r="E27" s="11" t="s">
        <v>434</v>
      </c>
      <c r="F27" s="11" t="s">
        <v>66</v>
      </c>
      <c r="G27" s="11" t="s">
        <v>75</v>
      </c>
      <c r="H27" s="11"/>
      <c r="I27" s="11" t="s">
        <v>435</v>
      </c>
      <c r="J27" s="11" t="s">
        <v>436</v>
      </c>
      <c r="K27" s="11"/>
      <c r="L27" s="11" t="s">
        <v>70</v>
      </c>
      <c r="M27" s="11" t="s">
        <v>71</v>
      </c>
      <c r="N27" s="11" t="s">
        <v>72</v>
      </c>
      <c r="O27" s="11" t="s">
        <v>19</v>
      </c>
      <c r="P27" s="13"/>
      <c r="Q27" s="13"/>
      <c r="R27" s="13"/>
      <c r="S27" s="13"/>
      <c r="T27" s="11" t="s">
        <v>19</v>
      </c>
      <c r="U27" s="13"/>
      <c r="V27" s="13"/>
      <c r="W27" s="13"/>
      <c r="X27" s="13"/>
      <c r="Y27" s="13"/>
      <c r="Z27" s="13"/>
      <c r="AA27" s="13"/>
    </row>
    <row r="28" spans="1:27" ht="45" x14ac:dyDescent="0.25">
      <c r="A28" s="11" t="s">
        <v>437</v>
      </c>
      <c r="B28" s="12" t="s">
        <v>424</v>
      </c>
      <c r="C28" s="11" t="s">
        <v>411</v>
      </c>
      <c r="D28" s="11" t="s">
        <v>425</v>
      </c>
      <c r="E28" s="11" t="s">
        <v>438</v>
      </c>
      <c r="F28" s="11" t="s">
        <v>66</v>
      </c>
      <c r="G28" s="11" t="s">
        <v>75</v>
      </c>
      <c r="H28" s="11"/>
      <c r="I28" s="11" t="s">
        <v>439</v>
      </c>
      <c r="J28" s="11" t="s">
        <v>440</v>
      </c>
      <c r="K28" s="11"/>
      <c r="L28" s="11" t="s">
        <v>70</v>
      </c>
      <c r="M28" s="11" t="s">
        <v>71</v>
      </c>
      <c r="N28" s="11" t="s">
        <v>72</v>
      </c>
      <c r="O28" s="11" t="s">
        <v>19</v>
      </c>
      <c r="P28" s="13"/>
      <c r="Q28" s="13"/>
      <c r="R28" s="13"/>
      <c r="S28" s="13"/>
      <c r="T28" s="11" t="s">
        <v>19</v>
      </c>
      <c r="U28" s="13"/>
      <c r="V28" s="13"/>
      <c r="W28" s="13"/>
      <c r="X28" s="13"/>
      <c r="Y28" s="13"/>
      <c r="Z28" s="13"/>
      <c r="AA28" s="13"/>
    </row>
    <row r="29" spans="1:27" ht="45" x14ac:dyDescent="0.25">
      <c r="A29" s="11" t="s">
        <v>441</v>
      </c>
      <c r="B29" s="12" t="s">
        <v>424</v>
      </c>
      <c r="C29" s="11" t="s">
        <v>411</v>
      </c>
      <c r="D29" s="11" t="s">
        <v>425</v>
      </c>
      <c r="E29" s="11" t="s">
        <v>442</v>
      </c>
      <c r="F29" s="11" t="s">
        <v>66</v>
      </c>
      <c r="G29" s="11" t="s">
        <v>75</v>
      </c>
      <c r="H29" s="11"/>
      <c r="I29" s="11" t="s">
        <v>443</v>
      </c>
      <c r="J29" s="11" t="s">
        <v>444</v>
      </c>
      <c r="K29" s="11"/>
      <c r="L29" s="11" t="s">
        <v>70</v>
      </c>
      <c r="M29" s="11" t="s">
        <v>71</v>
      </c>
      <c r="N29" s="11" t="s">
        <v>72</v>
      </c>
      <c r="O29" s="11" t="s">
        <v>19</v>
      </c>
      <c r="P29" s="13"/>
      <c r="Q29" s="13"/>
      <c r="R29" s="13"/>
      <c r="S29" s="13"/>
      <c r="T29" s="11" t="s">
        <v>19</v>
      </c>
      <c r="U29" s="13"/>
      <c r="V29" s="13"/>
      <c r="W29" s="13"/>
      <c r="X29" s="13"/>
      <c r="Y29" s="13"/>
      <c r="Z29" s="13"/>
      <c r="AA29" s="13"/>
    </row>
    <row r="30" spans="1:27" ht="45" x14ac:dyDescent="0.25">
      <c r="A30" s="11" t="s">
        <v>445</v>
      </c>
      <c r="B30" s="12" t="s">
        <v>424</v>
      </c>
      <c r="C30" s="11" t="s">
        <v>411</v>
      </c>
      <c r="D30" s="11" t="s">
        <v>425</v>
      </c>
      <c r="E30" s="11" t="s">
        <v>446</v>
      </c>
      <c r="F30" s="11" t="s">
        <v>66</v>
      </c>
      <c r="G30" s="11" t="s">
        <v>94</v>
      </c>
      <c r="H30" s="11"/>
      <c r="I30" s="11" t="s">
        <v>447</v>
      </c>
      <c r="J30" s="11" t="s">
        <v>448</v>
      </c>
      <c r="K30" s="11"/>
      <c r="L30" s="11" t="s">
        <v>70</v>
      </c>
      <c r="M30" s="11" t="s">
        <v>71</v>
      </c>
      <c r="N30" s="11" t="s">
        <v>72</v>
      </c>
      <c r="O30" s="11" t="s">
        <v>19</v>
      </c>
      <c r="P30" s="13"/>
      <c r="Q30" s="13"/>
      <c r="R30" s="13"/>
      <c r="S30" s="13"/>
      <c r="T30" s="11" t="s">
        <v>19</v>
      </c>
      <c r="U30" s="13"/>
      <c r="V30" s="13"/>
      <c r="W30" s="13"/>
      <c r="X30" s="13"/>
      <c r="Y30" s="13"/>
      <c r="Z30" s="13"/>
      <c r="AA30" s="13"/>
    </row>
    <row r="31" spans="1:27" ht="60" x14ac:dyDescent="0.25">
      <c r="A31" s="11" t="s">
        <v>449</v>
      </c>
      <c r="B31" s="12" t="s">
        <v>424</v>
      </c>
      <c r="C31" s="11" t="s">
        <v>186</v>
      </c>
      <c r="D31" s="11" t="s">
        <v>450</v>
      </c>
      <c r="E31" s="11" t="s">
        <v>451</v>
      </c>
      <c r="F31" s="11" t="s">
        <v>66</v>
      </c>
      <c r="G31" s="11" t="s">
        <v>75</v>
      </c>
      <c r="H31" s="11"/>
      <c r="I31" s="11" t="s">
        <v>452</v>
      </c>
      <c r="J31" s="11" t="s">
        <v>453</v>
      </c>
      <c r="K31" s="11"/>
      <c r="L31" s="11" t="s">
        <v>70</v>
      </c>
      <c r="M31" s="11" t="s">
        <v>71</v>
      </c>
      <c r="N31" s="11" t="s">
        <v>72</v>
      </c>
      <c r="O31" s="11" t="s">
        <v>19</v>
      </c>
      <c r="P31" s="13"/>
      <c r="Q31" s="13"/>
      <c r="R31" s="13"/>
      <c r="S31" s="13"/>
      <c r="T31" s="11" t="s">
        <v>19</v>
      </c>
      <c r="U31" s="13"/>
      <c r="V31" s="13"/>
      <c r="W31" s="13"/>
      <c r="X31" s="13"/>
      <c r="Y31" s="13"/>
      <c r="Z31" s="13"/>
      <c r="AA31" s="13"/>
    </row>
    <row r="32" spans="1:27" ht="60" x14ac:dyDescent="0.25">
      <c r="A32" s="11" t="s">
        <v>454</v>
      </c>
      <c r="B32" s="12" t="s">
        <v>455</v>
      </c>
      <c r="C32" s="11" t="s">
        <v>411</v>
      </c>
      <c r="D32" s="11" t="s">
        <v>456</v>
      </c>
      <c r="E32" s="11" t="s">
        <v>457</v>
      </c>
      <c r="F32" s="11" t="s">
        <v>66</v>
      </c>
      <c r="G32" s="11" t="s">
        <v>75</v>
      </c>
      <c r="H32" s="11"/>
      <c r="I32" s="11" t="s">
        <v>458</v>
      </c>
      <c r="J32" s="11" t="s">
        <v>459</v>
      </c>
      <c r="K32" s="11"/>
      <c r="L32" s="11" t="s">
        <v>70</v>
      </c>
      <c r="M32" s="11" t="s">
        <v>71</v>
      </c>
      <c r="N32" s="11" t="s">
        <v>72</v>
      </c>
      <c r="O32" s="11" t="s">
        <v>19</v>
      </c>
      <c r="P32" s="13"/>
      <c r="Q32" s="13"/>
      <c r="R32" s="13"/>
      <c r="S32" s="13"/>
      <c r="T32" s="11" t="s">
        <v>19</v>
      </c>
      <c r="U32" s="13"/>
      <c r="V32" s="13"/>
      <c r="W32" s="13"/>
      <c r="X32" s="13"/>
      <c r="Y32" s="13"/>
      <c r="Z32" s="13"/>
      <c r="AA32" s="13"/>
    </row>
    <row r="33" spans="1:27" ht="45" x14ac:dyDescent="0.25">
      <c r="A33" s="11" t="s">
        <v>460</v>
      </c>
      <c r="B33" s="12" t="s">
        <v>455</v>
      </c>
      <c r="C33" s="11" t="s">
        <v>411</v>
      </c>
      <c r="D33" s="11" t="s">
        <v>456</v>
      </c>
      <c r="E33" s="11" t="s">
        <v>461</v>
      </c>
      <c r="F33" s="11" t="s">
        <v>66</v>
      </c>
      <c r="G33" s="11" t="s">
        <v>75</v>
      </c>
      <c r="H33" s="11"/>
      <c r="I33" s="11" t="s">
        <v>462</v>
      </c>
      <c r="J33" s="11" t="s">
        <v>463</v>
      </c>
      <c r="K33" s="11"/>
      <c r="L33" s="11" t="s">
        <v>70</v>
      </c>
      <c r="M33" s="11" t="s">
        <v>71</v>
      </c>
      <c r="N33" s="11" t="s">
        <v>72</v>
      </c>
      <c r="O33" s="11" t="s">
        <v>19</v>
      </c>
      <c r="P33" s="13"/>
      <c r="Q33" s="13"/>
      <c r="R33" s="13"/>
      <c r="S33" s="13"/>
      <c r="T33" s="11" t="s">
        <v>19</v>
      </c>
      <c r="U33" s="13"/>
      <c r="V33" s="13"/>
      <c r="W33" s="13"/>
      <c r="X33" s="13"/>
      <c r="Y33" s="13"/>
      <c r="Z33" s="13"/>
      <c r="AA33" s="13"/>
    </row>
    <row r="34" spans="1:27" ht="45" x14ac:dyDescent="0.25">
      <c r="A34" s="11" t="s">
        <v>464</v>
      </c>
      <c r="B34" s="12" t="s">
        <v>455</v>
      </c>
      <c r="C34" s="11" t="s">
        <v>411</v>
      </c>
      <c r="D34" s="11" t="s">
        <v>456</v>
      </c>
      <c r="E34" s="11" t="s">
        <v>465</v>
      </c>
      <c r="F34" s="11" t="s">
        <v>66</v>
      </c>
      <c r="G34" s="11" t="s">
        <v>75</v>
      </c>
      <c r="H34" s="11"/>
      <c r="I34" s="11" t="s">
        <v>466</v>
      </c>
      <c r="J34" s="11" t="s">
        <v>467</v>
      </c>
      <c r="K34" s="11"/>
      <c r="L34" s="11" t="s">
        <v>70</v>
      </c>
      <c r="M34" s="11" t="s">
        <v>71</v>
      </c>
      <c r="N34" s="11" t="s">
        <v>72</v>
      </c>
      <c r="O34" s="11" t="s">
        <v>19</v>
      </c>
      <c r="P34" s="13"/>
      <c r="Q34" s="13"/>
      <c r="R34" s="13"/>
      <c r="S34" s="13"/>
      <c r="T34" s="11" t="s">
        <v>19</v>
      </c>
      <c r="U34" s="13"/>
      <c r="V34" s="13"/>
      <c r="W34" s="13"/>
      <c r="X34" s="13"/>
      <c r="Y34" s="13"/>
      <c r="Z34" s="13"/>
      <c r="AA34" s="13"/>
    </row>
    <row r="35" spans="1:27" ht="45" x14ac:dyDescent="0.25">
      <c r="A35" s="11" t="s">
        <v>468</v>
      </c>
      <c r="B35" s="12" t="s">
        <v>455</v>
      </c>
      <c r="C35" s="11" t="s">
        <v>411</v>
      </c>
      <c r="D35" s="11" t="s">
        <v>456</v>
      </c>
      <c r="E35" s="11" t="s">
        <v>469</v>
      </c>
      <c r="F35" s="11" t="s">
        <v>66</v>
      </c>
      <c r="G35" s="11" t="s">
        <v>94</v>
      </c>
      <c r="H35" s="11"/>
      <c r="I35" s="11" t="s">
        <v>470</v>
      </c>
      <c r="J35" s="11" t="s">
        <v>471</v>
      </c>
      <c r="K35" s="11"/>
      <c r="L35" s="11" t="s">
        <v>70</v>
      </c>
      <c r="M35" s="11" t="s">
        <v>71</v>
      </c>
      <c r="N35" s="11" t="s">
        <v>72</v>
      </c>
      <c r="O35" s="11" t="s">
        <v>19</v>
      </c>
      <c r="P35" s="13"/>
      <c r="Q35" s="13"/>
      <c r="R35" s="13"/>
      <c r="S35" s="13"/>
      <c r="T35" s="11" t="s">
        <v>19</v>
      </c>
      <c r="U35" s="13"/>
      <c r="V35" s="13"/>
      <c r="W35" s="13"/>
      <c r="X35" s="13"/>
      <c r="Y35" s="13"/>
      <c r="Z35" s="13"/>
      <c r="AA35" s="13"/>
    </row>
    <row r="36" spans="1:27" ht="60" x14ac:dyDescent="0.25">
      <c r="A36" s="11" t="s">
        <v>472</v>
      </c>
      <c r="B36" s="12" t="s">
        <v>455</v>
      </c>
      <c r="C36" s="11" t="s">
        <v>411</v>
      </c>
      <c r="D36" s="11" t="s">
        <v>456</v>
      </c>
      <c r="E36" s="11" t="s">
        <v>473</v>
      </c>
      <c r="F36" s="11" t="s">
        <v>66</v>
      </c>
      <c r="G36" s="11" t="s">
        <v>94</v>
      </c>
      <c r="H36" s="11"/>
      <c r="I36" s="11" t="s">
        <v>474</v>
      </c>
      <c r="J36" s="11" t="s">
        <v>475</v>
      </c>
      <c r="K36" s="11"/>
      <c r="L36" s="11" t="s">
        <v>70</v>
      </c>
      <c r="M36" s="11" t="s">
        <v>71</v>
      </c>
      <c r="N36" s="11" t="s">
        <v>72</v>
      </c>
      <c r="O36" s="11" t="s">
        <v>19</v>
      </c>
      <c r="P36" s="13"/>
      <c r="Q36" s="13"/>
      <c r="R36" s="13"/>
      <c r="S36" s="13"/>
      <c r="T36" s="11" t="s">
        <v>19</v>
      </c>
      <c r="U36" s="13"/>
      <c r="V36" s="13"/>
      <c r="W36" s="13"/>
      <c r="X36" s="13"/>
      <c r="Y36" s="13"/>
      <c r="Z36" s="13"/>
      <c r="AA36" s="13"/>
    </row>
    <row r="37" spans="1:27" ht="30" x14ac:dyDescent="0.25">
      <c r="A37" s="11" t="s">
        <v>476</v>
      </c>
      <c r="B37" s="12" t="s">
        <v>455</v>
      </c>
      <c r="C37" s="11" t="s">
        <v>411</v>
      </c>
      <c r="D37" s="11" t="s">
        <v>456</v>
      </c>
      <c r="E37" s="11" t="s">
        <v>477</v>
      </c>
      <c r="F37" s="11" t="s">
        <v>66</v>
      </c>
      <c r="G37" s="11" t="s">
        <v>94</v>
      </c>
      <c r="H37" s="11"/>
      <c r="I37" s="11" t="s">
        <v>478</v>
      </c>
      <c r="J37" s="11" t="s">
        <v>479</v>
      </c>
      <c r="K37" s="11"/>
      <c r="L37" s="11" t="s">
        <v>70</v>
      </c>
      <c r="M37" s="11" t="s">
        <v>71</v>
      </c>
      <c r="N37" s="11" t="s">
        <v>72</v>
      </c>
      <c r="O37" s="11" t="s">
        <v>19</v>
      </c>
      <c r="P37" s="13"/>
      <c r="Q37" s="13"/>
      <c r="R37" s="13"/>
      <c r="S37" s="13"/>
      <c r="T37" s="11" t="s">
        <v>19</v>
      </c>
      <c r="U37" s="13"/>
      <c r="V37" s="13"/>
      <c r="W37" s="13"/>
      <c r="X37" s="13"/>
      <c r="Y37" s="13"/>
      <c r="Z37" s="13"/>
      <c r="AA37" s="13"/>
    </row>
    <row r="38" spans="1:27" ht="30" x14ac:dyDescent="0.25">
      <c r="A38" s="11" t="s">
        <v>480</v>
      </c>
      <c r="B38" s="12" t="s">
        <v>481</v>
      </c>
      <c r="C38" s="11" t="s">
        <v>482</v>
      </c>
      <c r="D38" s="11" t="s">
        <v>483</v>
      </c>
      <c r="E38" s="11" t="s">
        <v>484</v>
      </c>
      <c r="F38" s="11" t="s">
        <v>66</v>
      </c>
      <c r="G38" s="11" t="s">
        <v>94</v>
      </c>
      <c r="H38" s="11"/>
      <c r="I38" s="11" t="s">
        <v>485</v>
      </c>
      <c r="J38" s="11" t="s">
        <v>486</v>
      </c>
      <c r="K38" s="11"/>
      <c r="L38" s="11" t="s">
        <v>70</v>
      </c>
      <c r="M38" s="11" t="s">
        <v>71</v>
      </c>
      <c r="N38" s="11" t="s">
        <v>72</v>
      </c>
      <c r="O38" s="11" t="s">
        <v>19</v>
      </c>
      <c r="P38" s="13"/>
      <c r="Q38" s="13"/>
      <c r="R38" s="13"/>
      <c r="S38" s="13"/>
      <c r="T38" s="11" t="s">
        <v>19</v>
      </c>
      <c r="U38" s="13"/>
      <c r="V38" s="13"/>
      <c r="W38" s="13"/>
      <c r="X38" s="13"/>
      <c r="Y38" s="13"/>
      <c r="Z38" s="13"/>
      <c r="AA38" s="13"/>
    </row>
    <row r="39" spans="1:27" ht="45" x14ac:dyDescent="0.25">
      <c r="A39" s="11" t="s">
        <v>487</v>
      </c>
      <c r="B39" s="12" t="s">
        <v>481</v>
      </c>
      <c r="C39" s="11" t="s">
        <v>482</v>
      </c>
      <c r="D39" s="11" t="s">
        <v>488</v>
      </c>
      <c r="E39" s="11" t="s">
        <v>489</v>
      </c>
      <c r="F39" s="11" t="s">
        <v>66</v>
      </c>
      <c r="G39" s="11" t="s">
        <v>75</v>
      </c>
      <c r="H39" s="11"/>
      <c r="I39" s="11" t="s">
        <v>490</v>
      </c>
      <c r="J39" s="11" t="s">
        <v>491</v>
      </c>
      <c r="K39" s="11"/>
      <c r="L39" s="11" t="s">
        <v>70</v>
      </c>
      <c r="M39" s="11" t="s">
        <v>71</v>
      </c>
      <c r="N39" s="11" t="s">
        <v>72</v>
      </c>
      <c r="O39" s="11" t="s">
        <v>19</v>
      </c>
      <c r="P39" s="13"/>
      <c r="Q39" s="13"/>
      <c r="R39" s="13"/>
      <c r="S39" s="13"/>
      <c r="T39" s="11" t="s">
        <v>19</v>
      </c>
      <c r="U39" s="13"/>
      <c r="V39" s="13"/>
      <c r="W39" s="13"/>
      <c r="X39" s="13"/>
      <c r="Y39" s="13"/>
      <c r="Z39" s="13"/>
      <c r="AA39" s="13"/>
    </row>
    <row r="40" spans="1:27" ht="75" x14ac:dyDescent="0.25">
      <c r="A40" s="11" t="s">
        <v>492</v>
      </c>
      <c r="B40" s="12" t="s">
        <v>315</v>
      </c>
      <c r="C40" s="11" t="s">
        <v>186</v>
      </c>
      <c r="D40" s="11" t="s">
        <v>493</v>
      </c>
      <c r="E40" s="11" t="s">
        <v>494</v>
      </c>
      <c r="F40" s="11" t="s">
        <v>66</v>
      </c>
      <c r="G40" s="11" t="s">
        <v>75</v>
      </c>
      <c r="H40" s="11"/>
      <c r="I40" s="11" t="s">
        <v>495</v>
      </c>
      <c r="J40" s="11" t="s">
        <v>496</v>
      </c>
      <c r="K40" s="11"/>
      <c r="L40" s="11" t="s">
        <v>70</v>
      </c>
      <c r="M40" s="11" t="s">
        <v>71</v>
      </c>
      <c r="N40" s="11" t="s">
        <v>72</v>
      </c>
      <c r="O40" s="11" t="s">
        <v>19</v>
      </c>
      <c r="P40" s="13"/>
      <c r="Q40" s="13"/>
      <c r="R40" s="13"/>
      <c r="S40" s="13"/>
      <c r="T40" s="11" t="s">
        <v>19</v>
      </c>
      <c r="U40" s="13"/>
      <c r="V40" s="13"/>
      <c r="W40" s="13"/>
      <c r="X40" s="13"/>
      <c r="Y40" s="13"/>
      <c r="Z40" s="13"/>
      <c r="AA40" s="13"/>
    </row>
    <row r="41" spans="1:27" ht="120" x14ac:dyDescent="0.25">
      <c r="A41" s="11" t="s">
        <v>497</v>
      </c>
      <c r="B41" s="12" t="s">
        <v>315</v>
      </c>
      <c r="C41" s="11" t="s">
        <v>186</v>
      </c>
      <c r="D41" s="11" t="s">
        <v>498</v>
      </c>
      <c r="E41" s="11" t="s">
        <v>499</v>
      </c>
      <c r="F41" s="11" t="s">
        <v>66</v>
      </c>
      <c r="G41" s="11" t="s">
        <v>75</v>
      </c>
      <c r="H41" s="11"/>
      <c r="I41" s="11" t="s">
        <v>500</v>
      </c>
      <c r="J41" s="11" t="s">
        <v>501</v>
      </c>
      <c r="K41" s="11"/>
      <c r="L41" s="11" t="s">
        <v>70</v>
      </c>
      <c r="M41" s="11" t="s">
        <v>71</v>
      </c>
      <c r="N41" s="11" t="s">
        <v>72</v>
      </c>
      <c r="O41" s="11" t="s">
        <v>19</v>
      </c>
      <c r="P41" s="13"/>
      <c r="Q41" s="13"/>
      <c r="R41" s="13"/>
      <c r="S41" s="13"/>
      <c r="T41" s="11" t="s">
        <v>19</v>
      </c>
      <c r="U41" s="13"/>
      <c r="V41" s="13"/>
      <c r="W41" s="13"/>
      <c r="X41" s="13"/>
      <c r="Y41" s="13"/>
      <c r="Z41" s="13"/>
      <c r="AA41" s="13"/>
    </row>
    <row r="42" spans="1:27" ht="45" x14ac:dyDescent="0.25">
      <c r="A42" s="11" t="s">
        <v>502</v>
      </c>
      <c r="B42" s="12" t="s">
        <v>315</v>
      </c>
      <c r="C42" s="11" t="s">
        <v>186</v>
      </c>
      <c r="D42" s="11" t="s">
        <v>503</v>
      </c>
      <c r="E42" s="11" t="s">
        <v>504</v>
      </c>
      <c r="F42" s="11" t="s">
        <v>66</v>
      </c>
      <c r="G42" s="11" t="s">
        <v>75</v>
      </c>
      <c r="H42" s="11"/>
      <c r="I42" s="11" t="s">
        <v>505</v>
      </c>
      <c r="J42" s="11" t="s">
        <v>506</v>
      </c>
      <c r="K42" s="11"/>
      <c r="L42" s="11" t="s">
        <v>70</v>
      </c>
      <c r="M42" s="11" t="s">
        <v>71</v>
      </c>
      <c r="N42" s="11" t="s">
        <v>72</v>
      </c>
      <c r="O42" s="11" t="s">
        <v>19</v>
      </c>
      <c r="P42" s="13"/>
      <c r="Q42" s="13"/>
      <c r="R42" s="13"/>
      <c r="S42" s="13"/>
      <c r="T42" s="11" t="s">
        <v>19</v>
      </c>
      <c r="U42" s="13"/>
      <c r="V42" s="13"/>
      <c r="W42" s="13"/>
      <c r="X42" s="13"/>
      <c r="Y42" s="13"/>
      <c r="Z42" s="13"/>
      <c r="AA42" s="13"/>
    </row>
    <row r="43" spans="1:27" ht="45" x14ac:dyDescent="0.25">
      <c r="A43" s="11" t="s">
        <v>507</v>
      </c>
      <c r="B43" s="12" t="s">
        <v>315</v>
      </c>
      <c r="C43" s="11" t="s">
        <v>186</v>
      </c>
      <c r="D43" s="11" t="s">
        <v>508</v>
      </c>
      <c r="E43" s="11" t="s">
        <v>509</v>
      </c>
      <c r="F43" s="11" t="s">
        <v>66</v>
      </c>
      <c r="G43" s="11" t="s">
        <v>94</v>
      </c>
      <c r="H43" s="11"/>
      <c r="I43" s="11" t="s">
        <v>510</v>
      </c>
      <c r="J43" s="11" t="s">
        <v>511</v>
      </c>
      <c r="K43" s="11"/>
      <c r="L43" s="11" t="s">
        <v>70</v>
      </c>
      <c r="M43" s="11" t="s">
        <v>71</v>
      </c>
      <c r="N43" s="11" t="s">
        <v>72</v>
      </c>
      <c r="O43" s="11" t="s">
        <v>19</v>
      </c>
      <c r="P43" s="13"/>
      <c r="Q43" s="13"/>
      <c r="R43" s="13"/>
      <c r="S43" s="13"/>
      <c r="T43" s="11" t="s">
        <v>19</v>
      </c>
      <c r="U43" s="13"/>
      <c r="V43" s="13"/>
      <c r="W43" s="13"/>
      <c r="X43" s="13"/>
      <c r="Y43" s="13"/>
      <c r="Z43" s="13"/>
      <c r="AA43" s="13"/>
    </row>
    <row r="44" spans="1:27" ht="60" x14ac:dyDescent="0.25">
      <c r="A44" s="11" t="s">
        <v>512</v>
      </c>
      <c r="B44" s="12" t="s">
        <v>315</v>
      </c>
      <c r="C44" s="11" t="s">
        <v>186</v>
      </c>
      <c r="D44" s="11" t="s">
        <v>513</v>
      </c>
      <c r="E44" s="11" t="s">
        <v>514</v>
      </c>
      <c r="F44" s="11" t="s">
        <v>66</v>
      </c>
      <c r="G44" s="11" t="s">
        <v>75</v>
      </c>
      <c r="H44" s="11"/>
      <c r="I44" s="11" t="s">
        <v>515</v>
      </c>
      <c r="J44" s="11" t="s">
        <v>516</v>
      </c>
      <c r="K44" s="11"/>
      <c r="L44" s="11" t="s">
        <v>70</v>
      </c>
      <c r="M44" s="11" t="s">
        <v>71</v>
      </c>
      <c r="N44" s="11" t="s">
        <v>72</v>
      </c>
      <c r="O44" s="11" t="s">
        <v>19</v>
      </c>
      <c r="P44" s="13"/>
      <c r="Q44" s="13"/>
      <c r="R44" s="13"/>
      <c r="S44" s="13"/>
      <c r="T44" s="11" t="s">
        <v>19</v>
      </c>
      <c r="U44" s="13"/>
      <c r="V44" s="13"/>
      <c r="W44" s="13"/>
      <c r="X44" s="13"/>
      <c r="Y44" s="13"/>
      <c r="Z44" s="13"/>
      <c r="AA44" s="13"/>
    </row>
    <row r="45" spans="1:27" ht="30" x14ac:dyDescent="0.25">
      <c r="A45" s="11" t="s">
        <v>517</v>
      </c>
      <c r="B45" s="12" t="s">
        <v>518</v>
      </c>
      <c r="C45" s="11" t="s">
        <v>146</v>
      </c>
      <c r="D45" s="11" t="s">
        <v>152</v>
      </c>
      <c r="E45" s="11" t="s">
        <v>519</v>
      </c>
      <c r="F45" s="11" t="s">
        <v>66</v>
      </c>
      <c r="G45" s="11" t="s">
        <v>75</v>
      </c>
      <c r="H45" s="11"/>
      <c r="I45" s="11" t="s">
        <v>520</v>
      </c>
      <c r="J45" s="11" t="s">
        <v>521</v>
      </c>
      <c r="K45" s="11"/>
      <c r="L45" s="11" t="s">
        <v>70</v>
      </c>
      <c r="M45" s="11" t="s">
        <v>71</v>
      </c>
      <c r="N45" s="11" t="s">
        <v>72</v>
      </c>
      <c r="O45" s="11" t="s">
        <v>19</v>
      </c>
      <c r="P45" s="13"/>
      <c r="Q45" s="13"/>
      <c r="R45" s="13"/>
      <c r="S45" s="13"/>
      <c r="T45" s="11" t="s">
        <v>19</v>
      </c>
      <c r="U45" s="13"/>
      <c r="V45" s="13"/>
      <c r="W45" s="13"/>
      <c r="X45" s="13"/>
      <c r="Y45" s="13"/>
      <c r="Z45" s="13"/>
      <c r="AA45" s="13"/>
    </row>
    <row r="46" spans="1:27" ht="45" x14ac:dyDescent="0.25">
      <c r="A46" s="11" t="s">
        <v>522</v>
      </c>
      <c r="B46" s="12" t="s">
        <v>518</v>
      </c>
      <c r="C46" s="11" t="s">
        <v>146</v>
      </c>
      <c r="D46" s="11" t="s">
        <v>152</v>
      </c>
      <c r="E46" s="11" t="s">
        <v>523</v>
      </c>
      <c r="F46" s="11" t="s">
        <v>66</v>
      </c>
      <c r="G46" s="11" t="s">
        <v>75</v>
      </c>
      <c r="H46" s="11"/>
      <c r="I46" s="11" t="s">
        <v>524</v>
      </c>
      <c r="J46" s="11" t="s">
        <v>155</v>
      </c>
      <c r="K46" s="11"/>
      <c r="L46" s="11" t="s">
        <v>70</v>
      </c>
      <c r="M46" s="11" t="s">
        <v>71</v>
      </c>
      <c r="N46" s="11" t="s">
        <v>72</v>
      </c>
      <c r="O46" s="11" t="s">
        <v>19</v>
      </c>
      <c r="P46" s="13"/>
      <c r="Q46" s="13"/>
      <c r="R46" s="13"/>
      <c r="S46" s="13"/>
      <c r="T46" s="11" t="s">
        <v>19</v>
      </c>
      <c r="U46" s="13"/>
      <c r="V46" s="13"/>
      <c r="W46" s="13"/>
      <c r="X46" s="13"/>
      <c r="Y46" s="13"/>
      <c r="Z46" s="13"/>
      <c r="AA46" s="13"/>
    </row>
    <row r="47" spans="1:27" ht="45" x14ac:dyDescent="0.25">
      <c r="A47" s="11" t="s">
        <v>525</v>
      </c>
      <c r="B47" s="12" t="s">
        <v>518</v>
      </c>
      <c r="C47" s="11" t="s">
        <v>146</v>
      </c>
      <c r="D47" s="11" t="s">
        <v>152</v>
      </c>
      <c r="E47" s="11" t="s">
        <v>526</v>
      </c>
      <c r="F47" s="11" t="s">
        <v>66</v>
      </c>
      <c r="G47" s="11" t="s">
        <v>75</v>
      </c>
      <c r="H47" s="11"/>
      <c r="I47" s="11" t="s">
        <v>527</v>
      </c>
      <c r="J47" s="11" t="s">
        <v>155</v>
      </c>
      <c r="K47" s="11"/>
      <c r="L47" s="11" t="s">
        <v>70</v>
      </c>
      <c r="M47" s="11" t="s">
        <v>71</v>
      </c>
      <c r="N47" s="11" t="s">
        <v>72</v>
      </c>
      <c r="O47" s="11" t="s">
        <v>19</v>
      </c>
      <c r="P47" s="13"/>
      <c r="Q47" s="13"/>
      <c r="R47" s="13"/>
      <c r="S47" s="13"/>
      <c r="T47" s="11" t="s">
        <v>19</v>
      </c>
      <c r="U47" s="13"/>
      <c r="V47" s="13"/>
      <c r="W47" s="13"/>
      <c r="X47" s="13"/>
      <c r="Y47" s="13"/>
      <c r="Z47" s="13"/>
      <c r="AA47" s="13"/>
    </row>
    <row r="48" spans="1:27" ht="45" x14ac:dyDescent="0.25">
      <c r="A48" s="11" t="s">
        <v>528</v>
      </c>
      <c r="B48" s="12" t="s">
        <v>518</v>
      </c>
      <c r="C48" s="11" t="s">
        <v>146</v>
      </c>
      <c r="D48" s="11" t="s">
        <v>157</v>
      </c>
      <c r="E48" s="11" t="s">
        <v>529</v>
      </c>
      <c r="F48" s="11" t="s">
        <v>66</v>
      </c>
      <c r="G48" s="11" t="s">
        <v>67</v>
      </c>
      <c r="H48" s="11"/>
      <c r="I48" s="11" t="s">
        <v>530</v>
      </c>
      <c r="J48" s="11" t="s">
        <v>531</v>
      </c>
      <c r="K48" s="11"/>
      <c r="L48" s="11" t="s">
        <v>70</v>
      </c>
      <c r="M48" s="11" t="s">
        <v>71</v>
      </c>
      <c r="N48" s="11" t="s">
        <v>72</v>
      </c>
      <c r="O48" s="11" t="s">
        <v>19</v>
      </c>
      <c r="P48" s="13"/>
      <c r="Q48" s="13"/>
      <c r="R48" s="13"/>
      <c r="S48" s="13"/>
      <c r="T48" s="11" t="s">
        <v>19</v>
      </c>
      <c r="U48" s="13"/>
      <c r="V48" s="13"/>
      <c r="W48" s="13"/>
      <c r="X48" s="13"/>
      <c r="Y48" s="13"/>
      <c r="Z48" s="13"/>
      <c r="AA48" s="13"/>
    </row>
    <row r="49" spans="1:27" ht="75" x14ac:dyDescent="0.25">
      <c r="A49" s="11" t="s">
        <v>532</v>
      </c>
      <c r="B49" s="12" t="s">
        <v>518</v>
      </c>
      <c r="C49" s="11" t="s">
        <v>146</v>
      </c>
      <c r="D49" s="11" t="s">
        <v>157</v>
      </c>
      <c r="E49" s="11" t="s">
        <v>533</v>
      </c>
      <c r="F49" s="11" t="s">
        <v>66</v>
      </c>
      <c r="G49" s="11" t="s">
        <v>67</v>
      </c>
      <c r="H49" s="11"/>
      <c r="I49" s="11" t="s">
        <v>534</v>
      </c>
      <c r="J49" s="11" t="s">
        <v>535</v>
      </c>
      <c r="K49" s="11"/>
      <c r="L49" s="11" t="s">
        <v>70</v>
      </c>
      <c r="M49" s="11" t="s">
        <v>71</v>
      </c>
      <c r="N49" s="11" t="s">
        <v>72</v>
      </c>
      <c r="O49" s="11" t="s">
        <v>19</v>
      </c>
      <c r="P49" s="13"/>
      <c r="Q49" s="13"/>
      <c r="R49" s="13"/>
      <c r="S49" s="13"/>
      <c r="T49" s="11" t="s">
        <v>19</v>
      </c>
      <c r="U49" s="13"/>
      <c r="V49" s="13"/>
      <c r="W49" s="13"/>
      <c r="X49" s="13"/>
      <c r="Y49" s="13"/>
      <c r="Z49" s="13"/>
      <c r="AA49" s="13"/>
    </row>
    <row r="50" spans="1:27" ht="75" x14ac:dyDescent="0.25">
      <c r="A50" s="11" t="s">
        <v>536</v>
      </c>
      <c r="B50" s="12" t="s">
        <v>518</v>
      </c>
      <c r="C50" s="11" t="s">
        <v>146</v>
      </c>
      <c r="D50" s="11" t="s">
        <v>157</v>
      </c>
      <c r="E50" s="11" t="s">
        <v>537</v>
      </c>
      <c r="F50" s="11" t="s">
        <v>66</v>
      </c>
      <c r="G50" s="11" t="s">
        <v>67</v>
      </c>
      <c r="H50" s="11"/>
      <c r="I50" s="11" t="s">
        <v>538</v>
      </c>
      <c r="J50" s="11" t="s">
        <v>535</v>
      </c>
      <c r="K50" s="11"/>
      <c r="L50" s="11" t="s">
        <v>70</v>
      </c>
      <c r="M50" s="11" t="s">
        <v>71</v>
      </c>
      <c r="N50" s="11" t="s">
        <v>72</v>
      </c>
      <c r="O50" s="11" t="s">
        <v>19</v>
      </c>
      <c r="P50" s="13"/>
      <c r="Q50" s="13"/>
      <c r="R50" s="13"/>
      <c r="S50" s="13"/>
      <c r="T50" s="11" t="s">
        <v>19</v>
      </c>
      <c r="U50" s="13"/>
      <c r="V50" s="13"/>
      <c r="W50" s="13"/>
      <c r="X50" s="13"/>
      <c r="Y50" s="13"/>
      <c r="Z50" s="13"/>
      <c r="AA50" s="13"/>
    </row>
    <row r="51" spans="1:27" ht="45" x14ac:dyDescent="0.25">
      <c r="A51" s="11" t="s">
        <v>539</v>
      </c>
      <c r="B51" s="12" t="s">
        <v>518</v>
      </c>
      <c r="C51" s="11" t="s">
        <v>146</v>
      </c>
      <c r="D51" s="11" t="s">
        <v>162</v>
      </c>
      <c r="E51" s="11" t="s">
        <v>540</v>
      </c>
      <c r="F51" s="11" t="s">
        <v>66</v>
      </c>
      <c r="G51" s="11" t="s">
        <v>67</v>
      </c>
      <c r="H51" s="11"/>
      <c r="I51" s="11" t="s">
        <v>541</v>
      </c>
      <c r="J51" s="11" t="s">
        <v>542</v>
      </c>
      <c r="K51" s="11"/>
      <c r="L51" s="11" t="s">
        <v>70</v>
      </c>
      <c r="M51" s="11" t="s">
        <v>71</v>
      </c>
      <c r="N51" s="11" t="s">
        <v>72</v>
      </c>
      <c r="O51" s="11" t="s">
        <v>19</v>
      </c>
      <c r="P51" s="13"/>
      <c r="Q51" s="13"/>
      <c r="R51" s="13"/>
      <c r="S51" s="13"/>
      <c r="T51" s="11" t="s">
        <v>19</v>
      </c>
      <c r="U51" s="13"/>
      <c r="V51" s="13"/>
      <c r="W51" s="13"/>
      <c r="X51" s="13"/>
      <c r="Y51" s="13"/>
      <c r="Z51" s="13"/>
      <c r="AA51" s="13"/>
    </row>
    <row r="52" spans="1:27" ht="90" x14ac:dyDescent="0.25">
      <c r="A52" s="11" t="s">
        <v>543</v>
      </c>
      <c r="B52" s="12" t="s">
        <v>518</v>
      </c>
      <c r="C52" s="11" t="s">
        <v>146</v>
      </c>
      <c r="D52" s="11" t="s">
        <v>162</v>
      </c>
      <c r="E52" s="11" t="s">
        <v>544</v>
      </c>
      <c r="F52" s="11" t="s">
        <v>66</v>
      </c>
      <c r="G52" s="11" t="s">
        <v>67</v>
      </c>
      <c r="H52" s="11"/>
      <c r="I52" s="11" t="s">
        <v>164</v>
      </c>
      <c r="J52" s="11" t="s">
        <v>545</v>
      </c>
      <c r="K52" s="11"/>
      <c r="L52" s="11" t="s">
        <v>70</v>
      </c>
      <c r="M52" s="11" t="s">
        <v>71</v>
      </c>
      <c r="N52" s="11" t="s">
        <v>72</v>
      </c>
      <c r="O52" s="11" t="s">
        <v>19</v>
      </c>
      <c r="P52" s="13"/>
      <c r="Q52" s="13"/>
      <c r="R52" s="13"/>
      <c r="S52" s="13"/>
      <c r="T52" s="11" t="s">
        <v>19</v>
      </c>
      <c r="U52" s="13"/>
      <c r="V52" s="13"/>
      <c r="W52" s="13"/>
      <c r="X52" s="13"/>
      <c r="Y52" s="13"/>
      <c r="Z52" s="13"/>
      <c r="AA52" s="13"/>
    </row>
    <row r="53" spans="1:27" ht="90" x14ac:dyDescent="0.25">
      <c r="A53" s="11" t="s">
        <v>546</v>
      </c>
      <c r="B53" s="12" t="s">
        <v>518</v>
      </c>
      <c r="C53" s="11" t="s">
        <v>146</v>
      </c>
      <c r="D53" s="11" t="s">
        <v>162</v>
      </c>
      <c r="E53" s="11" t="s">
        <v>547</v>
      </c>
      <c r="F53" s="11" t="s">
        <v>66</v>
      </c>
      <c r="G53" s="11" t="s">
        <v>67</v>
      </c>
      <c r="H53" s="11"/>
      <c r="I53" s="11" t="s">
        <v>164</v>
      </c>
      <c r="J53" s="11" t="s">
        <v>545</v>
      </c>
      <c r="K53" s="11"/>
      <c r="L53" s="11" t="s">
        <v>70</v>
      </c>
      <c r="M53" s="11" t="s">
        <v>71</v>
      </c>
      <c r="N53" s="11" t="s">
        <v>72</v>
      </c>
      <c r="O53" s="11" t="s">
        <v>19</v>
      </c>
      <c r="P53" s="13"/>
      <c r="Q53" s="13"/>
      <c r="R53" s="13"/>
      <c r="S53" s="13"/>
      <c r="T53" s="11" t="s">
        <v>19</v>
      </c>
      <c r="U53" s="13"/>
      <c r="V53" s="13"/>
      <c r="W53" s="13"/>
      <c r="X53" s="13"/>
      <c r="Y53" s="13"/>
      <c r="Z53" s="13"/>
      <c r="AA53" s="13"/>
    </row>
    <row r="54" spans="1:27" ht="45" x14ac:dyDescent="0.25">
      <c r="A54" s="11" t="s">
        <v>548</v>
      </c>
      <c r="B54" s="12" t="s">
        <v>518</v>
      </c>
      <c r="C54" s="11" t="s">
        <v>146</v>
      </c>
      <c r="D54" s="11" t="s">
        <v>167</v>
      </c>
      <c r="E54" s="11" t="s">
        <v>549</v>
      </c>
      <c r="F54" s="11" t="s">
        <v>66</v>
      </c>
      <c r="G54" s="11" t="s">
        <v>75</v>
      </c>
      <c r="H54" s="11"/>
      <c r="I54" s="11" t="s">
        <v>550</v>
      </c>
      <c r="J54" s="11" t="s">
        <v>551</v>
      </c>
      <c r="K54" s="11"/>
      <c r="L54" s="11" t="s">
        <v>70</v>
      </c>
      <c r="M54" s="11" t="s">
        <v>71</v>
      </c>
      <c r="N54" s="11" t="s">
        <v>72</v>
      </c>
      <c r="O54" s="11" t="s">
        <v>19</v>
      </c>
      <c r="P54" s="13"/>
      <c r="Q54" s="13"/>
      <c r="R54" s="13"/>
      <c r="S54" s="13"/>
      <c r="T54" s="11" t="s">
        <v>19</v>
      </c>
      <c r="U54" s="13"/>
      <c r="V54" s="13"/>
      <c r="W54" s="13"/>
      <c r="X54" s="13"/>
      <c r="Y54" s="13"/>
      <c r="Z54" s="13"/>
      <c r="AA54" s="13"/>
    </row>
    <row r="55" spans="1:27" ht="75" x14ac:dyDescent="0.25">
      <c r="A55" s="11" t="s">
        <v>552</v>
      </c>
      <c r="B55" s="12" t="s">
        <v>518</v>
      </c>
      <c r="C55" s="11" t="s">
        <v>146</v>
      </c>
      <c r="D55" s="11" t="s">
        <v>167</v>
      </c>
      <c r="E55" s="11" t="s">
        <v>553</v>
      </c>
      <c r="F55" s="11" t="s">
        <v>66</v>
      </c>
      <c r="G55" s="11" t="s">
        <v>75</v>
      </c>
      <c r="H55" s="11"/>
      <c r="I55" s="11" t="s">
        <v>554</v>
      </c>
      <c r="J55" s="11" t="s">
        <v>555</v>
      </c>
      <c r="K55" s="11"/>
      <c r="L55" s="11" t="s">
        <v>70</v>
      </c>
      <c r="M55" s="11" t="s">
        <v>71</v>
      </c>
      <c r="N55" s="11" t="s">
        <v>72</v>
      </c>
      <c r="O55" s="11" t="s">
        <v>19</v>
      </c>
      <c r="P55" s="13"/>
      <c r="Q55" s="13"/>
      <c r="R55" s="13"/>
      <c r="S55" s="13"/>
      <c r="T55" s="11" t="s">
        <v>19</v>
      </c>
      <c r="U55" s="13"/>
      <c r="V55" s="13"/>
      <c r="W55" s="13"/>
      <c r="X55" s="13"/>
      <c r="Y55" s="13"/>
      <c r="Z55" s="13"/>
      <c r="AA55" s="13"/>
    </row>
    <row r="56" spans="1:27" ht="75" x14ac:dyDescent="0.25">
      <c r="A56" s="11" t="s">
        <v>556</v>
      </c>
      <c r="B56" s="12" t="s">
        <v>518</v>
      </c>
      <c r="C56" s="11" t="s">
        <v>146</v>
      </c>
      <c r="D56" s="11" t="s">
        <v>167</v>
      </c>
      <c r="E56" s="11" t="s">
        <v>557</v>
      </c>
      <c r="F56" s="11" t="s">
        <v>66</v>
      </c>
      <c r="G56" s="11" t="s">
        <v>75</v>
      </c>
      <c r="H56" s="11"/>
      <c r="I56" s="11" t="s">
        <v>558</v>
      </c>
      <c r="J56" s="11" t="s">
        <v>555</v>
      </c>
      <c r="K56" s="11"/>
      <c r="L56" s="11" t="s">
        <v>70</v>
      </c>
      <c r="M56" s="11" t="s">
        <v>71</v>
      </c>
      <c r="N56" s="11" t="s">
        <v>72</v>
      </c>
      <c r="O56" s="11" t="s">
        <v>19</v>
      </c>
      <c r="P56" s="13"/>
      <c r="Q56" s="13"/>
      <c r="R56" s="13"/>
      <c r="S56" s="13"/>
      <c r="T56" s="11" t="s">
        <v>19</v>
      </c>
      <c r="U56" s="13"/>
      <c r="V56" s="13"/>
      <c r="W56" s="13"/>
      <c r="X56" s="13"/>
      <c r="Y56" s="13"/>
      <c r="Z56" s="13"/>
      <c r="AA56" s="13"/>
    </row>
    <row r="57" spans="1:27" ht="60" x14ac:dyDescent="0.25">
      <c r="A57" s="11" t="s">
        <v>559</v>
      </c>
      <c r="B57" s="12" t="s">
        <v>518</v>
      </c>
      <c r="C57" s="11" t="s">
        <v>146</v>
      </c>
      <c r="D57" s="11" t="s">
        <v>172</v>
      </c>
      <c r="E57" s="11" t="s">
        <v>560</v>
      </c>
      <c r="F57" s="11" t="s">
        <v>66</v>
      </c>
      <c r="G57" s="11" t="s">
        <v>67</v>
      </c>
      <c r="H57" s="11"/>
      <c r="I57" s="11" t="s">
        <v>561</v>
      </c>
      <c r="J57" s="11" t="s">
        <v>562</v>
      </c>
      <c r="K57" s="11"/>
      <c r="L57" s="11" t="s">
        <v>70</v>
      </c>
      <c r="M57" s="11" t="s">
        <v>71</v>
      </c>
      <c r="N57" s="11" t="s">
        <v>72</v>
      </c>
      <c r="O57" s="11" t="s">
        <v>19</v>
      </c>
      <c r="P57" s="13"/>
      <c r="Q57" s="13"/>
      <c r="R57" s="13"/>
      <c r="S57" s="13"/>
      <c r="T57" s="11" t="s">
        <v>19</v>
      </c>
      <c r="U57" s="13"/>
      <c r="V57" s="13"/>
      <c r="W57" s="13"/>
      <c r="X57" s="13"/>
      <c r="Y57" s="13"/>
      <c r="Z57" s="13"/>
      <c r="AA57" s="13"/>
    </row>
    <row r="58" spans="1:27" ht="75" x14ac:dyDescent="0.25">
      <c r="A58" s="11" t="s">
        <v>563</v>
      </c>
      <c r="B58" s="12" t="s">
        <v>518</v>
      </c>
      <c r="C58" s="11" t="s">
        <v>146</v>
      </c>
      <c r="D58" s="11" t="s">
        <v>172</v>
      </c>
      <c r="E58" s="11" t="s">
        <v>564</v>
      </c>
      <c r="F58" s="11" t="s">
        <v>66</v>
      </c>
      <c r="G58" s="11" t="s">
        <v>67</v>
      </c>
      <c r="H58" s="11"/>
      <c r="I58" s="11" t="s">
        <v>565</v>
      </c>
      <c r="J58" s="11" t="s">
        <v>566</v>
      </c>
      <c r="K58" s="11"/>
      <c r="L58" s="11" t="s">
        <v>70</v>
      </c>
      <c r="M58" s="11" t="s">
        <v>71</v>
      </c>
      <c r="N58" s="11" t="s">
        <v>72</v>
      </c>
      <c r="O58" s="11" t="s">
        <v>19</v>
      </c>
      <c r="P58" s="13"/>
      <c r="Q58" s="13"/>
      <c r="R58" s="13"/>
      <c r="S58" s="13"/>
      <c r="T58" s="11" t="s">
        <v>19</v>
      </c>
      <c r="U58" s="13"/>
      <c r="V58" s="13"/>
      <c r="W58" s="13"/>
      <c r="X58" s="13"/>
      <c r="Y58" s="13"/>
      <c r="Z58" s="13"/>
      <c r="AA58" s="13"/>
    </row>
    <row r="59" spans="1:27" ht="75" x14ac:dyDescent="0.25">
      <c r="A59" s="11" t="s">
        <v>567</v>
      </c>
      <c r="B59" s="12" t="s">
        <v>518</v>
      </c>
      <c r="C59" s="11" t="s">
        <v>146</v>
      </c>
      <c r="D59" s="11" t="s">
        <v>172</v>
      </c>
      <c r="E59" s="11" t="s">
        <v>568</v>
      </c>
      <c r="F59" s="11" t="s">
        <v>66</v>
      </c>
      <c r="G59" s="11" t="s">
        <v>67</v>
      </c>
      <c r="H59" s="11"/>
      <c r="I59" s="11" t="s">
        <v>569</v>
      </c>
      <c r="J59" s="11" t="s">
        <v>566</v>
      </c>
      <c r="K59" s="11"/>
      <c r="L59" s="11" t="s">
        <v>70</v>
      </c>
      <c r="M59" s="11" t="s">
        <v>71</v>
      </c>
      <c r="N59" s="11" t="s">
        <v>72</v>
      </c>
      <c r="O59" s="11" t="s">
        <v>19</v>
      </c>
      <c r="P59" s="13"/>
      <c r="Q59" s="13"/>
      <c r="R59" s="13"/>
      <c r="S59" s="13"/>
      <c r="T59" s="11" t="s">
        <v>19</v>
      </c>
      <c r="U59" s="13"/>
      <c r="V59" s="13"/>
      <c r="W59" s="13"/>
      <c r="X59" s="13"/>
      <c r="Y59" s="13"/>
      <c r="Z59" s="13"/>
      <c r="AA59" s="13"/>
    </row>
    <row r="60" spans="1:27" ht="15.75" x14ac:dyDescent="0.25">
      <c r="A60" s="53" t="s">
        <v>203</v>
      </c>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5"/>
    </row>
    <row r="61" spans="1:27" ht="45" x14ac:dyDescent="0.25">
      <c r="A61" s="11" t="s">
        <v>570</v>
      </c>
      <c r="B61" s="12" t="s">
        <v>326</v>
      </c>
      <c r="C61" s="11" t="s">
        <v>327</v>
      </c>
      <c r="D61" s="11" t="s">
        <v>328</v>
      </c>
      <c r="E61" s="11" t="s">
        <v>571</v>
      </c>
      <c r="F61" s="11" t="s">
        <v>206</v>
      </c>
      <c r="G61" s="11" t="s">
        <v>94</v>
      </c>
      <c r="H61" s="11"/>
      <c r="I61" s="11" t="s">
        <v>572</v>
      </c>
      <c r="J61" s="11" t="s">
        <v>573</v>
      </c>
      <c r="K61" s="11"/>
      <c r="L61" s="11" t="s">
        <v>70</v>
      </c>
      <c r="M61" s="11" t="s">
        <v>71</v>
      </c>
      <c r="N61" s="11" t="s">
        <v>72</v>
      </c>
      <c r="O61" s="11" t="s">
        <v>19</v>
      </c>
      <c r="P61" s="13"/>
      <c r="Q61" s="13"/>
      <c r="R61" s="13"/>
      <c r="S61" s="13"/>
      <c r="T61" s="11" t="s">
        <v>19</v>
      </c>
      <c r="U61" s="13"/>
      <c r="V61" s="13"/>
      <c r="W61" s="13"/>
      <c r="X61" s="13"/>
      <c r="Y61" s="13"/>
      <c r="Z61" s="13"/>
      <c r="AA61" s="13"/>
    </row>
    <row r="62" spans="1:27" ht="30" x14ac:dyDescent="0.25">
      <c r="A62" s="11" t="s">
        <v>574</v>
      </c>
      <c r="B62" s="12" t="s">
        <v>333</v>
      </c>
      <c r="C62" s="11" t="s">
        <v>334</v>
      </c>
      <c r="D62" s="11" t="s">
        <v>575</v>
      </c>
      <c r="E62" s="11" t="s">
        <v>576</v>
      </c>
      <c r="F62" s="11" t="s">
        <v>206</v>
      </c>
      <c r="G62" s="11" t="s">
        <v>94</v>
      </c>
      <c r="H62" s="11"/>
      <c r="I62" s="11" t="s">
        <v>577</v>
      </c>
      <c r="J62" s="11" t="s">
        <v>578</v>
      </c>
      <c r="K62" s="11"/>
      <c r="L62" s="11" t="s">
        <v>70</v>
      </c>
      <c r="M62" s="11" t="s">
        <v>71</v>
      </c>
      <c r="N62" s="11" t="s">
        <v>72</v>
      </c>
      <c r="O62" s="11" t="s">
        <v>19</v>
      </c>
      <c r="P62" s="13"/>
      <c r="Q62" s="13"/>
      <c r="R62" s="13"/>
      <c r="S62" s="13"/>
      <c r="T62" s="11" t="s">
        <v>19</v>
      </c>
      <c r="U62" s="13"/>
      <c r="V62" s="13"/>
      <c r="W62" s="13"/>
      <c r="X62" s="13"/>
      <c r="Y62" s="13"/>
      <c r="Z62" s="13"/>
      <c r="AA62" s="13"/>
    </row>
    <row r="63" spans="1:27" ht="45" x14ac:dyDescent="0.25">
      <c r="A63" s="11" t="s">
        <v>579</v>
      </c>
      <c r="B63" s="12" t="s">
        <v>333</v>
      </c>
      <c r="C63" s="11" t="s">
        <v>334</v>
      </c>
      <c r="D63" s="11" t="s">
        <v>575</v>
      </c>
      <c r="E63" s="11" t="s">
        <v>580</v>
      </c>
      <c r="F63" s="11" t="s">
        <v>206</v>
      </c>
      <c r="G63" s="11" t="s">
        <v>94</v>
      </c>
      <c r="H63" s="11"/>
      <c r="I63" s="11" t="s">
        <v>581</v>
      </c>
      <c r="J63" s="11" t="s">
        <v>582</v>
      </c>
      <c r="K63" s="11"/>
      <c r="L63" s="11" t="s">
        <v>70</v>
      </c>
      <c r="M63" s="11" t="s">
        <v>71</v>
      </c>
      <c r="N63" s="11" t="s">
        <v>72</v>
      </c>
      <c r="O63" s="11" t="s">
        <v>19</v>
      </c>
      <c r="P63" s="13"/>
      <c r="Q63" s="13"/>
      <c r="R63" s="13"/>
      <c r="S63" s="13"/>
      <c r="T63" s="11" t="s">
        <v>19</v>
      </c>
      <c r="U63" s="13"/>
      <c r="V63" s="13"/>
      <c r="W63" s="13"/>
      <c r="X63" s="13"/>
      <c r="Y63" s="13"/>
      <c r="Z63" s="13"/>
      <c r="AA63" s="13"/>
    </row>
    <row r="64" spans="1:27" ht="30" x14ac:dyDescent="0.25">
      <c r="A64" s="11" t="s">
        <v>583</v>
      </c>
      <c r="B64" s="12" t="s">
        <v>340</v>
      </c>
      <c r="C64" s="11" t="s">
        <v>584</v>
      </c>
      <c r="D64" s="11" t="s">
        <v>585</v>
      </c>
      <c r="E64" s="11" t="s">
        <v>586</v>
      </c>
      <c r="F64" s="11" t="s">
        <v>587</v>
      </c>
      <c r="G64" s="11" t="s">
        <v>94</v>
      </c>
      <c r="H64" s="11"/>
      <c r="I64" s="11" t="s">
        <v>588</v>
      </c>
      <c r="J64" s="11" t="s">
        <v>589</v>
      </c>
      <c r="K64" s="11"/>
      <c r="L64" s="11" t="s">
        <v>70</v>
      </c>
      <c r="M64" s="11" t="s">
        <v>71</v>
      </c>
      <c r="N64" s="11" t="s">
        <v>72</v>
      </c>
      <c r="O64" s="11" t="s">
        <v>19</v>
      </c>
      <c r="P64" s="13"/>
      <c r="Q64" s="13"/>
      <c r="R64" s="13"/>
      <c r="S64" s="13"/>
      <c r="T64" s="11" t="s">
        <v>19</v>
      </c>
      <c r="U64" s="13"/>
      <c r="V64" s="13"/>
      <c r="W64" s="13"/>
      <c r="X64" s="13"/>
      <c r="Y64" s="13"/>
      <c r="Z64" s="13"/>
      <c r="AA64" s="13"/>
    </row>
    <row r="65" spans="1:27" ht="30" x14ac:dyDescent="0.25">
      <c r="A65" s="11" t="s">
        <v>590</v>
      </c>
      <c r="B65" s="12" t="s">
        <v>340</v>
      </c>
      <c r="C65" s="11" t="s">
        <v>482</v>
      </c>
      <c r="D65" s="11" t="s">
        <v>591</v>
      </c>
      <c r="E65" s="11" t="s">
        <v>592</v>
      </c>
      <c r="F65" s="11" t="s">
        <v>206</v>
      </c>
      <c r="G65" s="11" t="s">
        <v>67</v>
      </c>
      <c r="H65" s="11"/>
      <c r="I65" s="11" t="s">
        <v>593</v>
      </c>
      <c r="J65" s="11" t="s">
        <v>594</v>
      </c>
      <c r="K65" s="11"/>
      <c r="L65" s="11" t="s">
        <v>70</v>
      </c>
      <c r="M65" s="11" t="s">
        <v>71</v>
      </c>
      <c r="N65" s="11" t="s">
        <v>72</v>
      </c>
      <c r="O65" s="11" t="s">
        <v>19</v>
      </c>
      <c r="P65" s="13"/>
      <c r="Q65" s="13"/>
      <c r="R65" s="13"/>
      <c r="S65" s="13"/>
      <c r="T65" s="11" t="s">
        <v>19</v>
      </c>
      <c r="U65" s="13"/>
      <c r="V65" s="13"/>
      <c r="W65" s="13"/>
      <c r="X65" s="13"/>
      <c r="Y65" s="13"/>
      <c r="Z65" s="13"/>
      <c r="AA65" s="13"/>
    </row>
    <row r="66" spans="1:27" ht="60" x14ac:dyDescent="0.25">
      <c r="A66" s="11" t="s">
        <v>595</v>
      </c>
      <c r="B66" s="12" t="s">
        <v>340</v>
      </c>
      <c r="C66" s="11" t="s">
        <v>596</v>
      </c>
      <c r="D66" s="11" t="s">
        <v>597</v>
      </c>
      <c r="E66" s="11" t="s">
        <v>598</v>
      </c>
      <c r="F66" s="11" t="s">
        <v>206</v>
      </c>
      <c r="G66" s="11" t="s">
        <v>75</v>
      </c>
      <c r="H66" s="11"/>
      <c r="I66" s="11" t="s">
        <v>599</v>
      </c>
      <c r="J66" s="11" t="s">
        <v>600</v>
      </c>
      <c r="K66" s="11"/>
      <c r="L66" s="11" t="s">
        <v>70</v>
      </c>
      <c r="M66" s="11" t="s">
        <v>71</v>
      </c>
      <c r="N66" s="11" t="s">
        <v>72</v>
      </c>
      <c r="O66" s="11" t="s">
        <v>19</v>
      </c>
      <c r="P66" s="13"/>
      <c r="Q66" s="13"/>
      <c r="R66" s="13"/>
      <c r="S66" s="13"/>
      <c r="T66" s="11" t="s">
        <v>19</v>
      </c>
      <c r="U66" s="13"/>
      <c r="V66" s="13"/>
      <c r="W66" s="13"/>
      <c r="X66" s="13"/>
      <c r="Y66" s="13"/>
      <c r="Z66" s="13"/>
      <c r="AA66" s="13"/>
    </row>
    <row r="67" spans="1:27" ht="30" x14ac:dyDescent="0.25">
      <c r="A67" s="11" t="s">
        <v>601</v>
      </c>
      <c r="B67" s="12" t="s">
        <v>340</v>
      </c>
      <c r="C67" s="11" t="s">
        <v>596</v>
      </c>
      <c r="D67" s="11" t="s">
        <v>597</v>
      </c>
      <c r="E67" s="11" t="s">
        <v>602</v>
      </c>
      <c r="F67" s="11" t="s">
        <v>587</v>
      </c>
      <c r="G67" s="11" t="s">
        <v>75</v>
      </c>
      <c r="H67" s="11"/>
      <c r="I67" s="11" t="s">
        <v>603</v>
      </c>
      <c r="J67" s="11" t="s">
        <v>604</v>
      </c>
      <c r="K67" s="11"/>
      <c r="L67" s="11" t="s">
        <v>70</v>
      </c>
      <c r="M67" s="11" t="s">
        <v>71</v>
      </c>
      <c r="N67" s="11" t="s">
        <v>72</v>
      </c>
      <c r="O67" s="11" t="s">
        <v>19</v>
      </c>
      <c r="P67" s="13"/>
      <c r="Q67" s="13"/>
      <c r="R67" s="13"/>
      <c r="S67" s="13"/>
      <c r="T67" s="11" t="s">
        <v>19</v>
      </c>
      <c r="U67" s="13"/>
      <c r="V67" s="13"/>
      <c r="W67" s="13"/>
      <c r="X67" s="13"/>
      <c r="Y67" s="13"/>
      <c r="Z67" s="13"/>
      <c r="AA67" s="13"/>
    </row>
    <row r="68" spans="1:27" ht="45" x14ac:dyDescent="0.25">
      <c r="A68" s="11" t="s">
        <v>605</v>
      </c>
      <c r="B68" s="12" t="s">
        <v>424</v>
      </c>
      <c r="C68" s="11" t="s">
        <v>411</v>
      </c>
      <c r="D68" s="11" t="s">
        <v>425</v>
      </c>
      <c r="E68" s="11" t="s">
        <v>606</v>
      </c>
      <c r="F68" s="11" t="s">
        <v>206</v>
      </c>
      <c r="G68" s="11" t="s">
        <v>75</v>
      </c>
      <c r="H68" s="11"/>
      <c r="I68" s="11" t="s">
        <v>607</v>
      </c>
      <c r="J68" s="11" t="s">
        <v>608</v>
      </c>
      <c r="K68" s="11"/>
      <c r="L68" s="11" t="s">
        <v>70</v>
      </c>
      <c r="M68" s="11" t="s">
        <v>71</v>
      </c>
      <c r="N68" s="11" t="s">
        <v>72</v>
      </c>
      <c r="O68" s="11" t="s">
        <v>19</v>
      </c>
      <c r="P68" s="13"/>
      <c r="Q68" s="13"/>
      <c r="R68" s="13"/>
      <c r="S68" s="13"/>
      <c r="T68" s="11" t="s">
        <v>19</v>
      </c>
      <c r="U68" s="13"/>
      <c r="V68" s="13"/>
      <c r="W68" s="13"/>
      <c r="X68" s="13"/>
      <c r="Y68" s="13"/>
      <c r="Z68" s="13"/>
      <c r="AA68" s="13"/>
    </row>
    <row r="69" spans="1:27" ht="75" x14ac:dyDescent="0.25">
      <c r="A69" s="11" t="s">
        <v>609</v>
      </c>
      <c r="B69" s="12" t="s">
        <v>424</v>
      </c>
      <c r="C69" s="11" t="s">
        <v>411</v>
      </c>
      <c r="D69" s="11" t="s">
        <v>425</v>
      </c>
      <c r="E69" s="11" t="s">
        <v>610</v>
      </c>
      <c r="F69" s="11" t="s">
        <v>206</v>
      </c>
      <c r="G69" s="11" t="s">
        <v>94</v>
      </c>
      <c r="H69" s="11"/>
      <c r="I69" s="11" t="s">
        <v>611</v>
      </c>
      <c r="J69" s="11" t="s">
        <v>612</v>
      </c>
      <c r="K69" s="11"/>
      <c r="L69" s="11" t="s">
        <v>70</v>
      </c>
      <c r="M69" s="11" t="s">
        <v>71</v>
      </c>
      <c r="N69" s="11" t="s">
        <v>72</v>
      </c>
      <c r="O69" s="11" t="s">
        <v>19</v>
      </c>
      <c r="P69" s="13"/>
      <c r="Q69" s="13"/>
      <c r="R69" s="13"/>
      <c r="S69" s="13"/>
      <c r="T69" s="11" t="s">
        <v>19</v>
      </c>
      <c r="U69" s="13"/>
      <c r="V69" s="13"/>
      <c r="W69" s="13"/>
      <c r="X69" s="13"/>
      <c r="Y69" s="13"/>
      <c r="Z69" s="13"/>
      <c r="AA69" s="13"/>
    </row>
    <row r="70" spans="1:27" ht="45" x14ac:dyDescent="0.25">
      <c r="A70" s="11" t="s">
        <v>613</v>
      </c>
      <c r="B70" s="12" t="s">
        <v>614</v>
      </c>
      <c r="C70" s="11" t="s">
        <v>386</v>
      </c>
      <c r="D70" s="11" t="s">
        <v>615</v>
      </c>
      <c r="E70" s="11" t="s">
        <v>616</v>
      </c>
      <c r="F70" s="11" t="s">
        <v>206</v>
      </c>
      <c r="G70" s="11" t="s">
        <v>67</v>
      </c>
      <c r="H70" s="11"/>
      <c r="I70" s="11" t="s">
        <v>617</v>
      </c>
      <c r="J70" s="11" t="s">
        <v>618</v>
      </c>
      <c r="K70" s="11"/>
      <c r="L70" s="11" t="s">
        <v>70</v>
      </c>
      <c r="M70" s="11" t="s">
        <v>71</v>
      </c>
      <c r="N70" s="11" t="s">
        <v>72</v>
      </c>
      <c r="O70" s="11" t="s">
        <v>19</v>
      </c>
      <c r="P70" s="13"/>
      <c r="Q70" s="13"/>
      <c r="R70" s="13"/>
      <c r="S70" s="13"/>
      <c r="T70" s="11" t="s">
        <v>19</v>
      </c>
      <c r="U70" s="13"/>
      <c r="V70" s="13"/>
      <c r="W70" s="13"/>
      <c r="X70" s="13"/>
      <c r="Y70" s="13"/>
      <c r="Z70" s="13"/>
      <c r="AA70" s="13"/>
    </row>
    <row r="71" spans="1:27" ht="45" x14ac:dyDescent="0.25">
      <c r="A71" s="11" t="s">
        <v>619</v>
      </c>
      <c r="B71" s="12" t="s">
        <v>614</v>
      </c>
      <c r="C71" s="11" t="s">
        <v>386</v>
      </c>
      <c r="D71" s="11" t="s">
        <v>615</v>
      </c>
      <c r="E71" s="11" t="s">
        <v>620</v>
      </c>
      <c r="F71" s="11" t="s">
        <v>206</v>
      </c>
      <c r="G71" s="11" t="s">
        <v>67</v>
      </c>
      <c r="H71" s="11"/>
      <c r="I71" s="11" t="s">
        <v>621</v>
      </c>
      <c r="J71" s="11" t="s">
        <v>622</v>
      </c>
      <c r="K71" s="11"/>
      <c r="L71" s="11" t="s">
        <v>70</v>
      </c>
      <c r="M71" s="11" t="s">
        <v>71</v>
      </c>
      <c r="N71" s="11" t="s">
        <v>72</v>
      </c>
      <c r="O71" s="11" t="s">
        <v>19</v>
      </c>
      <c r="P71" s="13"/>
      <c r="Q71" s="13"/>
      <c r="R71" s="13"/>
      <c r="S71" s="13"/>
      <c r="T71" s="11" t="s">
        <v>19</v>
      </c>
      <c r="U71" s="13"/>
      <c r="V71" s="13"/>
      <c r="W71" s="13"/>
      <c r="X71" s="13"/>
      <c r="Y71" s="13"/>
      <c r="Z71" s="13"/>
      <c r="AA71" s="13"/>
    </row>
    <row r="72" spans="1:27" ht="30" x14ac:dyDescent="0.25">
      <c r="A72" s="11" t="s">
        <v>623</v>
      </c>
      <c r="B72" s="12" t="s">
        <v>614</v>
      </c>
      <c r="C72" s="11" t="s">
        <v>386</v>
      </c>
      <c r="D72" s="11" t="s">
        <v>615</v>
      </c>
      <c r="E72" s="11" t="s">
        <v>624</v>
      </c>
      <c r="F72" s="11" t="s">
        <v>206</v>
      </c>
      <c r="G72" s="11" t="s">
        <v>67</v>
      </c>
      <c r="H72" s="11"/>
      <c r="I72" s="11" t="s">
        <v>625</v>
      </c>
      <c r="J72" s="11" t="s">
        <v>626</v>
      </c>
      <c r="K72" s="11"/>
      <c r="L72" s="11" t="s">
        <v>70</v>
      </c>
      <c r="M72" s="11" t="s">
        <v>71</v>
      </c>
      <c r="N72" s="11" t="s">
        <v>72</v>
      </c>
      <c r="O72" s="11" t="s">
        <v>19</v>
      </c>
      <c r="P72" s="13"/>
      <c r="Q72" s="13"/>
      <c r="R72" s="13"/>
      <c r="S72" s="13"/>
      <c r="T72" s="11" t="s">
        <v>19</v>
      </c>
      <c r="U72" s="13"/>
      <c r="V72" s="13"/>
      <c r="W72" s="13"/>
      <c r="X72" s="13"/>
      <c r="Y72" s="13"/>
      <c r="Z72" s="13"/>
      <c r="AA72" s="13"/>
    </row>
    <row r="73" spans="1:27" ht="30" x14ac:dyDescent="0.25">
      <c r="A73" s="11" t="s">
        <v>627</v>
      </c>
      <c r="B73" s="12" t="s">
        <v>614</v>
      </c>
      <c r="C73" s="11" t="s">
        <v>386</v>
      </c>
      <c r="D73" s="11" t="s">
        <v>615</v>
      </c>
      <c r="E73" s="11" t="s">
        <v>628</v>
      </c>
      <c r="F73" s="11" t="s">
        <v>206</v>
      </c>
      <c r="G73" s="11" t="s">
        <v>75</v>
      </c>
      <c r="H73" s="11"/>
      <c r="I73" s="11" t="s">
        <v>629</v>
      </c>
      <c r="J73" s="11" t="s">
        <v>630</v>
      </c>
      <c r="K73" s="11"/>
      <c r="L73" s="11" t="s">
        <v>70</v>
      </c>
      <c r="M73" s="11" t="s">
        <v>71</v>
      </c>
      <c r="N73" s="11" t="s">
        <v>72</v>
      </c>
      <c r="O73" s="11" t="s">
        <v>19</v>
      </c>
      <c r="P73" s="13"/>
      <c r="Q73" s="13"/>
      <c r="R73" s="13"/>
      <c r="S73" s="13"/>
      <c r="T73" s="11" t="s">
        <v>19</v>
      </c>
      <c r="U73" s="13"/>
      <c r="V73" s="13"/>
      <c r="W73" s="13"/>
      <c r="X73" s="13"/>
      <c r="Y73" s="13"/>
      <c r="Z73" s="13"/>
      <c r="AA73" s="13"/>
    </row>
    <row r="74" spans="1:27" ht="30" x14ac:dyDescent="0.25">
      <c r="A74" s="11" t="s">
        <v>631</v>
      </c>
      <c r="B74" s="12" t="s">
        <v>614</v>
      </c>
      <c r="C74" s="11" t="s">
        <v>386</v>
      </c>
      <c r="D74" s="11" t="s">
        <v>615</v>
      </c>
      <c r="E74" s="11" t="s">
        <v>632</v>
      </c>
      <c r="F74" s="11" t="s">
        <v>587</v>
      </c>
      <c r="G74" s="11" t="s">
        <v>75</v>
      </c>
      <c r="H74" s="11"/>
      <c r="I74" s="11" t="s">
        <v>633</v>
      </c>
      <c r="J74" s="11" t="s">
        <v>634</v>
      </c>
      <c r="K74" s="11"/>
      <c r="L74" s="11" t="s">
        <v>70</v>
      </c>
      <c r="M74" s="11" t="s">
        <v>71</v>
      </c>
      <c r="N74" s="11" t="s">
        <v>72</v>
      </c>
      <c r="O74" s="11" t="s">
        <v>19</v>
      </c>
      <c r="P74" s="13"/>
      <c r="Q74" s="13"/>
      <c r="R74" s="13"/>
      <c r="S74" s="13"/>
      <c r="T74" s="11" t="s">
        <v>19</v>
      </c>
      <c r="U74" s="13"/>
      <c r="V74" s="13"/>
      <c r="W74" s="13"/>
      <c r="X74" s="13"/>
      <c r="Y74" s="13"/>
      <c r="Z74" s="13"/>
      <c r="AA74" s="13"/>
    </row>
    <row r="75" spans="1:27" ht="45" x14ac:dyDescent="0.25">
      <c r="A75" s="11" t="s">
        <v>635</v>
      </c>
      <c r="B75" s="12" t="s">
        <v>455</v>
      </c>
      <c r="C75" s="11" t="s">
        <v>411</v>
      </c>
      <c r="D75" s="11" t="s">
        <v>456</v>
      </c>
      <c r="E75" s="11" t="s">
        <v>636</v>
      </c>
      <c r="F75" s="11" t="s">
        <v>206</v>
      </c>
      <c r="G75" s="11" t="s">
        <v>67</v>
      </c>
      <c r="H75" s="11"/>
      <c r="I75" s="11" t="s">
        <v>637</v>
      </c>
      <c r="J75" s="11" t="s">
        <v>638</v>
      </c>
      <c r="K75" s="11"/>
      <c r="L75" s="11" t="s">
        <v>70</v>
      </c>
      <c r="M75" s="11" t="s">
        <v>71</v>
      </c>
      <c r="N75" s="11" t="s">
        <v>72</v>
      </c>
      <c r="O75" s="11" t="s">
        <v>19</v>
      </c>
      <c r="P75" s="13"/>
      <c r="Q75" s="13"/>
      <c r="R75" s="13"/>
      <c r="S75" s="13"/>
      <c r="T75" s="11" t="s">
        <v>19</v>
      </c>
      <c r="U75" s="13"/>
      <c r="V75" s="13"/>
      <c r="W75" s="13"/>
      <c r="X75" s="13"/>
      <c r="Y75" s="13"/>
      <c r="Z75" s="13"/>
      <c r="AA75" s="13"/>
    </row>
    <row r="76" spans="1:27" ht="45" x14ac:dyDescent="0.25">
      <c r="A76" s="11" t="s">
        <v>639</v>
      </c>
      <c r="B76" s="12" t="s">
        <v>455</v>
      </c>
      <c r="C76" s="11" t="s">
        <v>411</v>
      </c>
      <c r="D76" s="11" t="s">
        <v>456</v>
      </c>
      <c r="E76" s="11" t="s">
        <v>640</v>
      </c>
      <c r="F76" s="11" t="s">
        <v>206</v>
      </c>
      <c r="G76" s="11" t="s">
        <v>75</v>
      </c>
      <c r="H76" s="11"/>
      <c r="I76" s="11" t="s">
        <v>641</v>
      </c>
      <c r="J76" s="11" t="s">
        <v>642</v>
      </c>
      <c r="K76" s="11"/>
      <c r="L76" s="11" t="s">
        <v>70</v>
      </c>
      <c r="M76" s="11" t="s">
        <v>71</v>
      </c>
      <c r="N76" s="11" t="s">
        <v>72</v>
      </c>
      <c r="O76" s="11" t="s">
        <v>19</v>
      </c>
      <c r="P76" s="13"/>
      <c r="Q76" s="13"/>
      <c r="R76" s="13"/>
      <c r="S76" s="13"/>
      <c r="T76" s="11" t="s">
        <v>19</v>
      </c>
      <c r="U76" s="13"/>
      <c r="V76" s="13"/>
      <c r="W76" s="13"/>
      <c r="X76" s="13"/>
      <c r="Y76" s="13"/>
      <c r="Z76" s="13"/>
      <c r="AA76" s="13"/>
    </row>
    <row r="77" spans="1:27" ht="45" x14ac:dyDescent="0.25">
      <c r="A77" s="11" t="s">
        <v>643</v>
      </c>
      <c r="B77" s="12" t="s">
        <v>455</v>
      </c>
      <c r="C77" s="11" t="s">
        <v>411</v>
      </c>
      <c r="D77" s="11" t="s">
        <v>456</v>
      </c>
      <c r="E77" s="11" t="s">
        <v>644</v>
      </c>
      <c r="F77" s="11" t="s">
        <v>206</v>
      </c>
      <c r="G77" s="11" t="s">
        <v>75</v>
      </c>
      <c r="H77" s="11"/>
      <c r="I77" s="11" t="s">
        <v>645</v>
      </c>
      <c r="J77" s="11" t="s">
        <v>646</v>
      </c>
      <c r="K77" s="11"/>
      <c r="L77" s="11" t="s">
        <v>70</v>
      </c>
      <c r="M77" s="11" t="s">
        <v>71</v>
      </c>
      <c r="N77" s="11" t="s">
        <v>72</v>
      </c>
      <c r="O77" s="11" t="s">
        <v>19</v>
      </c>
      <c r="P77" s="13"/>
      <c r="Q77" s="13"/>
      <c r="R77" s="13"/>
      <c r="S77" s="13"/>
      <c r="T77" s="11" t="s">
        <v>19</v>
      </c>
      <c r="U77" s="13"/>
      <c r="V77" s="13"/>
      <c r="W77" s="13"/>
      <c r="X77" s="13"/>
      <c r="Y77" s="13"/>
      <c r="Z77" s="13"/>
      <c r="AA77" s="13"/>
    </row>
    <row r="78" spans="1:27" ht="30" x14ac:dyDescent="0.25">
      <c r="A78" s="11" t="s">
        <v>647</v>
      </c>
      <c r="B78" s="12" t="s">
        <v>455</v>
      </c>
      <c r="C78" s="11" t="s">
        <v>411</v>
      </c>
      <c r="D78" s="11" t="s">
        <v>456</v>
      </c>
      <c r="E78" s="11" t="s">
        <v>648</v>
      </c>
      <c r="F78" s="11" t="s">
        <v>206</v>
      </c>
      <c r="G78" s="11" t="s">
        <v>94</v>
      </c>
      <c r="H78" s="11"/>
      <c r="I78" s="11" t="s">
        <v>649</v>
      </c>
      <c r="J78" s="11" t="s">
        <v>650</v>
      </c>
      <c r="K78" s="11"/>
      <c r="L78" s="11" t="s">
        <v>70</v>
      </c>
      <c r="M78" s="11" t="s">
        <v>71</v>
      </c>
      <c r="N78" s="11" t="s">
        <v>72</v>
      </c>
      <c r="O78" s="11" t="s">
        <v>19</v>
      </c>
      <c r="P78" s="13"/>
      <c r="Q78" s="13"/>
      <c r="R78" s="13"/>
      <c r="S78" s="13"/>
      <c r="T78" s="11" t="s">
        <v>19</v>
      </c>
      <c r="U78" s="13"/>
      <c r="V78" s="13"/>
      <c r="W78" s="13"/>
      <c r="X78" s="13"/>
      <c r="Y78" s="13"/>
      <c r="Z78" s="13"/>
      <c r="AA78" s="13"/>
    </row>
    <row r="79" spans="1:27" ht="45" x14ac:dyDescent="0.25">
      <c r="A79" s="11" t="s">
        <v>651</v>
      </c>
      <c r="B79" s="12" t="s">
        <v>455</v>
      </c>
      <c r="C79" s="11" t="s">
        <v>411</v>
      </c>
      <c r="D79" s="11" t="s">
        <v>456</v>
      </c>
      <c r="E79" s="11" t="s">
        <v>652</v>
      </c>
      <c r="F79" s="11" t="s">
        <v>206</v>
      </c>
      <c r="G79" s="11" t="s">
        <v>94</v>
      </c>
      <c r="H79" s="11"/>
      <c r="I79" s="11" t="s">
        <v>653</v>
      </c>
      <c r="J79" s="11" t="s">
        <v>654</v>
      </c>
      <c r="K79" s="11"/>
      <c r="L79" s="11" t="s">
        <v>70</v>
      </c>
      <c r="M79" s="11" t="s">
        <v>71</v>
      </c>
      <c r="N79" s="11" t="s">
        <v>72</v>
      </c>
      <c r="O79" s="11" t="s">
        <v>19</v>
      </c>
      <c r="P79" s="13"/>
      <c r="Q79" s="13"/>
      <c r="R79" s="13"/>
      <c r="S79" s="13"/>
      <c r="T79" s="11" t="s">
        <v>19</v>
      </c>
      <c r="U79" s="13"/>
      <c r="V79" s="13"/>
      <c r="W79" s="13"/>
      <c r="X79" s="13"/>
      <c r="Y79" s="13"/>
      <c r="Z79" s="13"/>
      <c r="AA79" s="13"/>
    </row>
    <row r="80" spans="1:27" ht="30" x14ac:dyDescent="0.25">
      <c r="A80" s="11" t="s">
        <v>655</v>
      </c>
      <c r="B80" s="12" t="s">
        <v>656</v>
      </c>
      <c r="C80" s="11" t="s">
        <v>657</v>
      </c>
      <c r="D80" s="11" t="s">
        <v>658</v>
      </c>
      <c r="E80" s="11" t="s">
        <v>659</v>
      </c>
      <c r="F80" s="11" t="s">
        <v>206</v>
      </c>
      <c r="G80" s="11" t="s">
        <v>75</v>
      </c>
      <c r="H80" s="11"/>
      <c r="I80" s="11" t="s">
        <v>660</v>
      </c>
      <c r="J80" s="11" t="s">
        <v>661</v>
      </c>
      <c r="K80" s="11"/>
      <c r="L80" s="11" t="s">
        <v>70</v>
      </c>
      <c r="M80" s="11" t="s">
        <v>71</v>
      </c>
      <c r="N80" s="11" t="s">
        <v>72</v>
      </c>
      <c r="O80" s="11" t="s">
        <v>19</v>
      </c>
      <c r="P80" s="13"/>
      <c r="Q80" s="13"/>
      <c r="R80" s="13"/>
      <c r="S80" s="13"/>
      <c r="T80" s="11" t="s">
        <v>19</v>
      </c>
      <c r="U80" s="13"/>
      <c r="V80" s="13"/>
      <c r="W80" s="13"/>
      <c r="X80" s="13"/>
      <c r="Y80" s="13"/>
      <c r="Z80" s="13"/>
      <c r="AA80" s="13"/>
    </row>
    <row r="81" spans="1:27" ht="30" x14ac:dyDescent="0.25">
      <c r="A81" s="11" t="s">
        <v>662</v>
      </c>
      <c r="B81" s="12" t="s">
        <v>656</v>
      </c>
      <c r="C81" s="11" t="s">
        <v>663</v>
      </c>
      <c r="D81" s="11" t="s">
        <v>664</v>
      </c>
      <c r="E81" s="11" t="s">
        <v>665</v>
      </c>
      <c r="F81" s="11" t="s">
        <v>666</v>
      </c>
      <c r="G81" s="11" t="s">
        <v>94</v>
      </c>
      <c r="H81" s="11"/>
      <c r="I81" s="11" t="s">
        <v>667</v>
      </c>
      <c r="J81" s="11" t="s">
        <v>668</v>
      </c>
      <c r="K81" s="11"/>
      <c r="L81" s="11" t="s">
        <v>70</v>
      </c>
      <c r="M81" s="11" t="s">
        <v>71</v>
      </c>
      <c r="N81" s="11" t="s">
        <v>72</v>
      </c>
      <c r="O81" s="11" t="s">
        <v>19</v>
      </c>
      <c r="P81" s="13"/>
      <c r="Q81" s="13"/>
      <c r="R81" s="13"/>
      <c r="S81" s="13"/>
      <c r="T81" s="11" t="s">
        <v>19</v>
      </c>
      <c r="U81" s="13"/>
      <c r="V81" s="13"/>
      <c r="W81" s="13"/>
      <c r="X81" s="13"/>
      <c r="Y81" s="13"/>
      <c r="Z81" s="13"/>
      <c r="AA81" s="13"/>
    </row>
    <row r="82" spans="1:27" ht="30" x14ac:dyDescent="0.25">
      <c r="A82" s="11" t="s">
        <v>669</v>
      </c>
      <c r="B82" s="12" t="s">
        <v>656</v>
      </c>
      <c r="C82" s="11" t="s">
        <v>670</v>
      </c>
      <c r="D82" s="11" t="s">
        <v>671</v>
      </c>
      <c r="E82" s="11" t="s">
        <v>672</v>
      </c>
      <c r="F82" s="11" t="s">
        <v>206</v>
      </c>
      <c r="G82" s="11" t="s">
        <v>75</v>
      </c>
      <c r="H82" s="11"/>
      <c r="I82" s="11" t="s">
        <v>673</v>
      </c>
      <c r="J82" s="11" t="s">
        <v>674</v>
      </c>
      <c r="K82" s="11"/>
      <c r="L82" s="11" t="s">
        <v>70</v>
      </c>
      <c r="M82" s="11" t="s">
        <v>71</v>
      </c>
      <c r="N82" s="11" t="s">
        <v>72</v>
      </c>
      <c r="O82" s="11" t="s">
        <v>19</v>
      </c>
      <c r="P82" s="13"/>
      <c r="Q82" s="13"/>
      <c r="R82" s="13"/>
      <c r="S82" s="13"/>
      <c r="T82" s="11" t="s">
        <v>19</v>
      </c>
      <c r="U82" s="13"/>
      <c r="V82" s="13"/>
      <c r="W82" s="13"/>
      <c r="X82" s="13"/>
      <c r="Y82" s="13"/>
      <c r="Z82" s="13"/>
      <c r="AA82" s="13"/>
    </row>
    <row r="83" spans="1:27" ht="30" x14ac:dyDescent="0.25">
      <c r="A83" s="11" t="s">
        <v>675</v>
      </c>
      <c r="B83" s="12" t="s">
        <v>656</v>
      </c>
      <c r="C83" s="11" t="s">
        <v>670</v>
      </c>
      <c r="D83" s="11" t="s">
        <v>671</v>
      </c>
      <c r="E83" s="11" t="s">
        <v>676</v>
      </c>
      <c r="F83" s="11" t="s">
        <v>587</v>
      </c>
      <c r="G83" s="11" t="s">
        <v>94</v>
      </c>
      <c r="H83" s="11"/>
      <c r="I83" s="11" t="s">
        <v>677</v>
      </c>
      <c r="J83" s="11" t="s">
        <v>678</v>
      </c>
      <c r="K83" s="11"/>
      <c r="L83" s="11" t="s">
        <v>70</v>
      </c>
      <c r="M83" s="11" t="s">
        <v>71</v>
      </c>
      <c r="N83" s="11" t="s">
        <v>72</v>
      </c>
      <c r="O83" s="11" t="s">
        <v>19</v>
      </c>
      <c r="P83" s="13"/>
      <c r="Q83" s="13"/>
      <c r="R83" s="13"/>
      <c r="S83" s="13"/>
      <c r="T83" s="11" t="s">
        <v>19</v>
      </c>
      <c r="U83" s="13"/>
      <c r="V83" s="13"/>
      <c r="W83" s="13"/>
      <c r="X83" s="13"/>
      <c r="Y83" s="13"/>
      <c r="Z83" s="13"/>
      <c r="AA83" s="13"/>
    </row>
    <row r="84" spans="1:27" ht="45" x14ac:dyDescent="0.25">
      <c r="A84" s="11" t="s">
        <v>679</v>
      </c>
      <c r="B84" s="12" t="s">
        <v>680</v>
      </c>
      <c r="C84" s="11" t="s">
        <v>681</v>
      </c>
      <c r="D84" s="11" t="s">
        <v>682</v>
      </c>
      <c r="E84" s="11" t="s">
        <v>683</v>
      </c>
      <c r="F84" s="11" t="s">
        <v>587</v>
      </c>
      <c r="G84" s="11" t="s">
        <v>75</v>
      </c>
      <c r="H84" s="11"/>
      <c r="I84" s="11" t="s">
        <v>684</v>
      </c>
      <c r="J84" s="11" t="s">
        <v>685</v>
      </c>
      <c r="K84" s="11"/>
      <c r="L84" s="11" t="s">
        <v>70</v>
      </c>
      <c r="M84" s="11" t="s">
        <v>71</v>
      </c>
      <c r="N84" s="11" t="s">
        <v>72</v>
      </c>
      <c r="O84" s="11" t="s">
        <v>19</v>
      </c>
      <c r="P84" s="13"/>
      <c r="Q84" s="13"/>
      <c r="R84" s="13"/>
      <c r="S84" s="13"/>
      <c r="T84" s="11" t="s">
        <v>19</v>
      </c>
      <c r="U84" s="13"/>
      <c r="V84" s="13"/>
      <c r="W84" s="13"/>
      <c r="X84" s="13"/>
      <c r="Y84" s="13"/>
      <c r="Z84" s="13"/>
      <c r="AA84" s="13"/>
    </row>
    <row r="85" spans="1:27" ht="45" x14ac:dyDescent="0.25">
      <c r="A85" s="11" t="s">
        <v>686</v>
      </c>
      <c r="B85" s="12" t="s">
        <v>680</v>
      </c>
      <c r="C85" s="11" t="s">
        <v>681</v>
      </c>
      <c r="D85" s="11" t="s">
        <v>682</v>
      </c>
      <c r="E85" s="11" t="s">
        <v>687</v>
      </c>
      <c r="F85" s="11" t="s">
        <v>206</v>
      </c>
      <c r="G85" s="11" t="s">
        <v>75</v>
      </c>
      <c r="H85" s="11"/>
      <c r="I85" s="11" t="s">
        <v>688</v>
      </c>
      <c r="J85" s="11" t="s">
        <v>689</v>
      </c>
      <c r="K85" s="11"/>
      <c r="L85" s="11" t="s">
        <v>70</v>
      </c>
      <c r="M85" s="11" t="s">
        <v>71</v>
      </c>
      <c r="N85" s="11" t="s">
        <v>72</v>
      </c>
      <c r="O85" s="11" t="s">
        <v>19</v>
      </c>
      <c r="P85" s="13"/>
      <c r="Q85" s="13"/>
      <c r="R85" s="13"/>
      <c r="S85" s="13"/>
      <c r="T85" s="11" t="s">
        <v>19</v>
      </c>
      <c r="U85" s="13"/>
      <c r="V85" s="13"/>
      <c r="W85" s="13"/>
      <c r="X85" s="13"/>
      <c r="Y85" s="13"/>
      <c r="Z85" s="13"/>
      <c r="AA85" s="13"/>
    </row>
    <row r="86" spans="1:27" ht="45" x14ac:dyDescent="0.25">
      <c r="A86" s="11" t="s">
        <v>690</v>
      </c>
      <c r="B86" s="12" t="s">
        <v>680</v>
      </c>
      <c r="C86" s="11" t="s">
        <v>681</v>
      </c>
      <c r="D86" s="11" t="s">
        <v>682</v>
      </c>
      <c r="E86" s="11" t="s">
        <v>691</v>
      </c>
      <c r="F86" s="11" t="s">
        <v>206</v>
      </c>
      <c r="G86" s="11" t="s">
        <v>75</v>
      </c>
      <c r="H86" s="11"/>
      <c r="I86" s="11" t="s">
        <v>692</v>
      </c>
      <c r="J86" s="11" t="s">
        <v>693</v>
      </c>
      <c r="K86" s="11"/>
      <c r="L86" s="11" t="s">
        <v>70</v>
      </c>
      <c r="M86" s="11" t="s">
        <v>71</v>
      </c>
      <c r="N86" s="11" t="s">
        <v>72</v>
      </c>
      <c r="O86" s="11" t="s">
        <v>19</v>
      </c>
      <c r="P86" s="13"/>
      <c r="Q86" s="13"/>
      <c r="R86" s="13"/>
      <c r="S86" s="13"/>
      <c r="T86" s="11" t="s">
        <v>19</v>
      </c>
      <c r="U86" s="13"/>
      <c r="V86" s="13"/>
      <c r="W86" s="13"/>
      <c r="X86" s="13"/>
      <c r="Y86" s="13"/>
      <c r="Z86" s="13"/>
      <c r="AA86" s="13"/>
    </row>
    <row r="87" spans="1:27" ht="30" x14ac:dyDescent="0.25">
      <c r="A87" s="11" t="s">
        <v>694</v>
      </c>
      <c r="B87" s="12" t="s">
        <v>315</v>
      </c>
      <c r="C87" s="11" t="s">
        <v>327</v>
      </c>
      <c r="D87" s="11" t="s">
        <v>695</v>
      </c>
      <c r="E87" s="11" t="s">
        <v>696</v>
      </c>
      <c r="F87" s="11" t="s">
        <v>206</v>
      </c>
      <c r="G87" s="11" t="s">
        <v>75</v>
      </c>
      <c r="H87" s="11"/>
      <c r="I87" s="11" t="s">
        <v>697</v>
      </c>
      <c r="J87" s="11" t="s">
        <v>698</v>
      </c>
      <c r="K87" s="11"/>
      <c r="L87" s="11" t="s">
        <v>70</v>
      </c>
      <c r="M87" s="11" t="s">
        <v>71</v>
      </c>
      <c r="N87" s="11" t="s">
        <v>72</v>
      </c>
      <c r="O87" s="11" t="s">
        <v>19</v>
      </c>
      <c r="P87" s="13"/>
      <c r="Q87" s="13"/>
      <c r="R87" s="13"/>
      <c r="S87" s="13"/>
      <c r="T87" s="11" t="s">
        <v>19</v>
      </c>
      <c r="U87" s="13"/>
      <c r="V87" s="13"/>
      <c r="W87" s="13"/>
      <c r="X87" s="13"/>
      <c r="Y87" s="13"/>
      <c r="Z87" s="13"/>
      <c r="AA87" s="13"/>
    </row>
    <row r="88" spans="1:27" ht="45" x14ac:dyDescent="0.25">
      <c r="A88" s="11" t="s">
        <v>699</v>
      </c>
      <c r="B88" s="12" t="s">
        <v>315</v>
      </c>
      <c r="C88" s="11" t="s">
        <v>316</v>
      </c>
      <c r="D88" s="11" t="s">
        <v>700</v>
      </c>
      <c r="E88" s="11" t="s">
        <v>701</v>
      </c>
      <c r="F88" s="11" t="s">
        <v>206</v>
      </c>
      <c r="G88" s="11" t="s">
        <v>75</v>
      </c>
      <c r="H88" s="11"/>
      <c r="I88" s="11" t="s">
        <v>702</v>
      </c>
      <c r="J88" s="11" t="s">
        <v>703</v>
      </c>
      <c r="K88" s="11"/>
      <c r="L88" s="11" t="s">
        <v>70</v>
      </c>
      <c r="M88" s="11" t="s">
        <v>71</v>
      </c>
      <c r="N88" s="11" t="s">
        <v>72</v>
      </c>
      <c r="O88" s="11" t="s">
        <v>19</v>
      </c>
      <c r="P88" s="13"/>
      <c r="Q88" s="13"/>
      <c r="R88" s="13"/>
      <c r="S88" s="13"/>
      <c r="T88" s="11" t="s">
        <v>19</v>
      </c>
      <c r="U88" s="13"/>
      <c r="V88" s="13"/>
      <c r="W88" s="13"/>
      <c r="X88" s="13"/>
      <c r="Y88" s="13"/>
      <c r="Z88" s="13"/>
      <c r="AA88" s="13"/>
    </row>
    <row r="89" spans="1:27" ht="15.75" x14ac:dyDescent="0.25">
      <c r="A89" s="53" t="s">
        <v>234</v>
      </c>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5"/>
    </row>
    <row r="90" spans="1:27" ht="30" x14ac:dyDescent="0.25">
      <c r="A90" s="11" t="s">
        <v>704</v>
      </c>
      <c r="B90" s="12" t="s">
        <v>315</v>
      </c>
      <c r="C90" s="11" t="s">
        <v>316</v>
      </c>
      <c r="D90" s="11" t="s">
        <v>317</v>
      </c>
      <c r="E90" s="11" t="s">
        <v>705</v>
      </c>
      <c r="F90" s="11" t="s">
        <v>237</v>
      </c>
      <c r="G90" s="11" t="s">
        <v>75</v>
      </c>
      <c r="H90" s="11"/>
      <c r="I90" s="11" t="s">
        <v>706</v>
      </c>
      <c r="J90" s="11" t="s">
        <v>707</v>
      </c>
      <c r="K90" s="11"/>
      <c r="L90" s="11" t="s">
        <v>70</v>
      </c>
      <c r="M90" s="11" t="s">
        <v>71</v>
      </c>
      <c r="N90" s="11" t="s">
        <v>72</v>
      </c>
      <c r="O90" s="11" t="s">
        <v>19</v>
      </c>
      <c r="P90" s="13"/>
      <c r="Q90" s="13"/>
      <c r="R90" s="13"/>
      <c r="S90" s="13"/>
      <c r="T90" s="11" t="s">
        <v>19</v>
      </c>
      <c r="U90" s="13"/>
      <c r="V90" s="13"/>
      <c r="W90" s="13"/>
      <c r="X90" s="13"/>
      <c r="Y90" s="13"/>
      <c r="Z90" s="13"/>
      <c r="AA90" s="13"/>
    </row>
    <row r="91" spans="1:27" ht="30" x14ac:dyDescent="0.25">
      <c r="A91" s="11" t="s">
        <v>708</v>
      </c>
      <c r="B91" s="12" t="s">
        <v>315</v>
      </c>
      <c r="C91" s="11" t="s">
        <v>316</v>
      </c>
      <c r="D91" s="11" t="s">
        <v>317</v>
      </c>
      <c r="E91" s="11" t="s">
        <v>709</v>
      </c>
      <c r="F91" s="11" t="s">
        <v>237</v>
      </c>
      <c r="G91" s="11" t="s">
        <v>94</v>
      </c>
      <c r="H91" s="11"/>
      <c r="I91" s="11" t="s">
        <v>710</v>
      </c>
      <c r="J91" s="11" t="s">
        <v>711</v>
      </c>
      <c r="K91" s="11"/>
      <c r="L91" s="11" t="s">
        <v>70</v>
      </c>
      <c r="M91" s="11" t="s">
        <v>71</v>
      </c>
      <c r="N91" s="11" t="s">
        <v>72</v>
      </c>
      <c r="O91" s="11" t="s">
        <v>19</v>
      </c>
      <c r="P91" s="13"/>
      <c r="Q91" s="13"/>
      <c r="R91" s="13"/>
      <c r="S91" s="13"/>
      <c r="T91" s="11" t="s">
        <v>19</v>
      </c>
      <c r="U91" s="13"/>
      <c r="V91" s="13"/>
      <c r="W91" s="13"/>
      <c r="X91" s="13"/>
      <c r="Y91" s="13"/>
      <c r="Z91" s="13"/>
      <c r="AA91" s="13"/>
    </row>
    <row r="92" spans="1:27" ht="30" x14ac:dyDescent="0.25">
      <c r="A92" s="11" t="s">
        <v>712</v>
      </c>
      <c r="B92" s="12" t="s">
        <v>315</v>
      </c>
      <c r="C92" s="11" t="s">
        <v>316</v>
      </c>
      <c r="D92" s="11" t="s">
        <v>317</v>
      </c>
      <c r="E92" s="11" t="s">
        <v>713</v>
      </c>
      <c r="F92" s="11" t="s">
        <v>237</v>
      </c>
      <c r="G92" s="11" t="s">
        <v>94</v>
      </c>
      <c r="H92" s="11"/>
      <c r="I92" s="11" t="s">
        <v>714</v>
      </c>
      <c r="J92" s="11" t="s">
        <v>715</v>
      </c>
      <c r="K92" s="11"/>
      <c r="L92" s="11" t="s">
        <v>70</v>
      </c>
      <c r="M92" s="11" t="s">
        <v>71</v>
      </c>
      <c r="N92" s="11" t="s">
        <v>72</v>
      </c>
      <c r="O92" s="11" t="s">
        <v>19</v>
      </c>
      <c r="P92" s="13"/>
      <c r="Q92" s="13"/>
      <c r="R92" s="13"/>
      <c r="S92" s="13"/>
      <c r="T92" s="11" t="s">
        <v>19</v>
      </c>
      <c r="U92" s="13"/>
      <c r="V92" s="13"/>
      <c r="W92" s="13"/>
      <c r="X92" s="13"/>
      <c r="Y92" s="13"/>
      <c r="Z92" s="13"/>
      <c r="AA92" s="13"/>
    </row>
    <row r="93" spans="1:27" ht="30" x14ac:dyDescent="0.25">
      <c r="A93" s="11" t="s">
        <v>716</v>
      </c>
      <c r="B93" s="12" t="s">
        <v>315</v>
      </c>
      <c r="C93" s="11" t="s">
        <v>316</v>
      </c>
      <c r="D93" s="11" t="s">
        <v>317</v>
      </c>
      <c r="E93" s="11" t="s">
        <v>717</v>
      </c>
      <c r="F93" s="11" t="s">
        <v>237</v>
      </c>
      <c r="G93" s="11" t="s">
        <v>94</v>
      </c>
      <c r="H93" s="11"/>
      <c r="I93" s="11" t="s">
        <v>718</v>
      </c>
      <c r="J93" s="11" t="s">
        <v>719</v>
      </c>
      <c r="K93" s="11"/>
      <c r="L93" s="11" t="s">
        <v>70</v>
      </c>
      <c r="M93" s="11" t="s">
        <v>71</v>
      </c>
      <c r="N93" s="11" t="s">
        <v>72</v>
      </c>
      <c r="O93" s="11" t="s">
        <v>19</v>
      </c>
      <c r="P93" s="13"/>
      <c r="Q93" s="13"/>
      <c r="R93" s="13"/>
      <c r="S93" s="13"/>
      <c r="T93" s="11" t="s">
        <v>19</v>
      </c>
      <c r="U93" s="13"/>
      <c r="V93" s="13"/>
      <c r="W93" s="13"/>
      <c r="X93" s="13"/>
      <c r="Y93" s="13"/>
      <c r="Z93" s="13"/>
      <c r="AA93" s="13"/>
    </row>
    <row r="94" spans="1:27" ht="30" x14ac:dyDescent="0.25">
      <c r="A94" s="11" t="s">
        <v>720</v>
      </c>
      <c r="B94" s="12" t="s">
        <v>315</v>
      </c>
      <c r="C94" s="11" t="s">
        <v>316</v>
      </c>
      <c r="D94" s="11" t="s">
        <v>317</v>
      </c>
      <c r="E94" s="11" t="s">
        <v>721</v>
      </c>
      <c r="F94" s="11" t="s">
        <v>237</v>
      </c>
      <c r="G94" s="11" t="s">
        <v>94</v>
      </c>
      <c r="H94" s="11"/>
      <c r="I94" s="11" t="s">
        <v>722</v>
      </c>
      <c r="J94" s="11" t="s">
        <v>723</v>
      </c>
      <c r="K94" s="11"/>
      <c r="L94" s="11" t="s">
        <v>70</v>
      </c>
      <c r="M94" s="11" t="s">
        <v>71</v>
      </c>
      <c r="N94" s="11" t="s">
        <v>72</v>
      </c>
      <c r="O94" s="11" t="s">
        <v>19</v>
      </c>
      <c r="P94" s="13"/>
      <c r="Q94" s="13"/>
      <c r="R94" s="13"/>
      <c r="S94" s="13"/>
      <c r="T94" s="11" t="s">
        <v>19</v>
      </c>
      <c r="U94" s="13"/>
      <c r="V94" s="13"/>
      <c r="W94" s="13"/>
      <c r="X94" s="13"/>
      <c r="Y94" s="13"/>
      <c r="Z94" s="13"/>
      <c r="AA94" s="13"/>
    </row>
    <row r="95" spans="1:27" ht="45" x14ac:dyDescent="0.25">
      <c r="A95" s="11" t="s">
        <v>724</v>
      </c>
      <c r="B95" s="12" t="s">
        <v>315</v>
      </c>
      <c r="C95" s="11" t="s">
        <v>316</v>
      </c>
      <c r="D95" s="11" t="s">
        <v>317</v>
      </c>
      <c r="E95" s="11" t="s">
        <v>725</v>
      </c>
      <c r="F95" s="11" t="s">
        <v>237</v>
      </c>
      <c r="G95" s="11" t="s">
        <v>94</v>
      </c>
      <c r="H95" s="11"/>
      <c r="I95" s="11" t="s">
        <v>726</v>
      </c>
      <c r="J95" s="11" t="s">
        <v>727</v>
      </c>
      <c r="K95" s="11"/>
      <c r="L95" s="11" t="s">
        <v>70</v>
      </c>
      <c r="M95" s="11" t="s">
        <v>71</v>
      </c>
      <c r="N95" s="11" t="s">
        <v>72</v>
      </c>
      <c r="O95" s="11" t="s">
        <v>19</v>
      </c>
      <c r="P95" s="13"/>
      <c r="Q95" s="13"/>
      <c r="R95" s="13"/>
      <c r="S95" s="13"/>
      <c r="T95" s="11" t="s">
        <v>19</v>
      </c>
      <c r="U95" s="13"/>
      <c r="V95" s="13"/>
      <c r="W95" s="13"/>
      <c r="X95" s="13"/>
      <c r="Y95" s="13"/>
      <c r="Z95" s="13"/>
      <c r="AA95" s="13"/>
    </row>
    <row r="96" spans="1:27" ht="45" x14ac:dyDescent="0.25">
      <c r="A96" s="11" t="s">
        <v>728</v>
      </c>
      <c r="B96" s="12" t="s">
        <v>315</v>
      </c>
      <c r="C96" s="11" t="s">
        <v>316</v>
      </c>
      <c r="D96" s="11" t="s">
        <v>729</v>
      </c>
      <c r="E96" s="11" t="s">
        <v>730</v>
      </c>
      <c r="F96" s="11" t="s">
        <v>237</v>
      </c>
      <c r="G96" s="11" t="s">
        <v>75</v>
      </c>
      <c r="H96" s="11"/>
      <c r="I96" s="11" t="s">
        <v>731</v>
      </c>
      <c r="J96" s="11" t="s">
        <v>732</v>
      </c>
      <c r="K96" s="11"/>
      <c r="L96" s="11" t="s">
        <v>70</v>
      </c>
      <c r="M96" s="11" t="s">
        <v>71</v>
      </c>
      <c r="N96" s="11" t="s">
        <v>72</v>
      </c>
      <c r="O96" s="11" t="s">
        <v>19</v>
      </c>
      <c r="P96" s="13"/>
      <c r="Q96" s="13"/>
      <c r="R96" s="13"/>
      <c r="S96" s="13"/>
      <c r="T96" s="11" t="s">
        <v>19</v>
      </c>
      <c r="U96" s="13"/>
      <c r="V96" s="13"/>
      <c r="W96" s="13"/>
      <c r="X96" s="13"/>
      <c r="Y96" s="13"/>
      <c r="Z96" s="13"/>
      <c r="AA96" s="13"/>
    </row>
    <row r="97" spans="1:27" ht="30" x14ac:dyDescent="0.25">
      <c r="A97" s="11" t="s">
        <v>733</v>
      </c>
      <c r="B97" s="12" t="s">
        <v>315</v>
      </c>
      <c r="C97" s="11" t="s">
        <v>316</v>
      </c>
      <c r="D97" s="11" t="s">
        <v>729</v>
      </c>
      <c r="E97" s="11" t="s">
        <v>734</v>
      </c>
      <c r="F97" s="11" t="s">
        <v>237</v>
      </c>
      <c r="G97" s="11" t="s">
        <v>75</v>
      </c>
      <c r="H97" s="11"/>
      <c r="I97" s="11" t="s">
        <v>735</v>
      </c>
      <c r="J97" s="11" t="s">
        <v>736</v>
      </c>
      <c r="K97" s="11"/>
      <c r="L97" s="11" t="s">
        <v>70</v>
      </c>
      <c r="M97" s="11" t="s">
        <v>71</v>
      </c>
      <c r="N97" s="11" t="s">
        <v>72</v>
      </c>
      <c r="O97" s="11" t="s">
        <v>19</v>
      </c>
      <c r="P97" s="13"/>
      <c r="Q97" s="13"/>
      <c r="R97" s="13"/>
      <c r="S97" s="13"/>
      <c r="T97" s="11" t="s">
        <v>19</v>
      </c>
      <c r="U97" s="13"/>
      <c r="V97" s="13"/>
      <c r="W97" s="13"/>
      <c r="X97" s="13"/>
      <c r="Y97" s="13"/>
      <c r="Z97" s="13"/>
      <c r="AA97" s="13"/>
    </row>
    <row r="98" spans="1:27" ht="30" x14ac:dyDescent="0.25">
      <c r="A98" s="11" t="s">
        <v>737</v>
      </c>
      <c r="B98" s="12" t="s">
        <v>326</v>
      </c>
      <c r="C98" s="11" t="s">
        <v>327</v>
      </c>
      <c r="D98" s="11" t="s">
        <v>328</v>
      </c>
      <c r="E98" s="11" t="s">
        <v>738</v>
      </c>
      <c r="F98" s="11" t="s">
        <v>237</v>
      </c>
      <c r="G98" s="11" t="s">
        <v>75</v>
      </c>
      <c r="H98" s="11"/>
      <c r="I98" s="11" t="s">
        <v>739</v>
      </c>
      <c r="J98" s="11" t="s">
        <v>740</v>
      </c>
      <c r="K98" s="11"/>
      <c r="L98" s="11" t="s">
        <v>70</v>
      </c>
      <c r="M98" s="11" t="s">
        <v>71</v>
      </c>
      <c r="N98" s="11" t="s">
        <v>72</v>
      </c>
      <c r="O98" s="11" t="s">
        <v>19</v>
      </c>
      <c r="P98" s="13"/>
      <c r="Q98" s="13"/>
      <c r="R98" s="13"/>
      <c r="S98" s="13"/>
      <c r="T98" s="11" t="s">
        <v>19</v>
      </c>
      <c r="U98" s="13"/>
      <c r="V98" s="13"/>
      <c r="W98" s="13"/>
      <c r="X98" s="13"/>
      <c r="Y98" s="13"/>
      <c r="Z98" s="13"/>
      <c r="AA98" s="13"/>
    </row>
    <row r="99" spans="1:27" ht="30" x14ac:dyDescent="0.25">
      <c r="A99" s="11" t="s">
        <v>741</v>
      </c>
      <c r="B99" s="12" t="s">
        <v>326</v>
      </c>
      <c r="C99" s="11" t="s">
        <v>327</v>
      </c>
      <c r="D99" s="11" t="s">
        <v>328</v>
      </c>
      <c r="E99" s="11" t="s">
        <v>742</v>
      </c>
      <c r="F99" s="11" t="s">
        <v>237</v>
      </c>
      <c r="G99" s="11" t="s">
        <v>75</v>
      </c>
      <c r="H99" s="11"/>
      <c r="I99" s="11" t="s">
        <v>743</v>
      </c>
      <c r="J99" s="11" t="s">
        <v>744</v>
      </c>
      <c r="K99" s="11"/>
      <c r="L99" s="11" t="s">
        <v>70</v>
      </c>
      <c r="M99" s="11" t="s">
        <v>71</v>
      </c>
      <c r="N99" s="11" t="s">
        <v>72</v>
      </c>
      <c r="O99" s="11" t="s">
        <v>19</v>
      </c>
      <c r="P99" s="13"/>
      <c r="Q99" s="13"/>
      <c r="R99" s="13"/>
      <c r="S99" s="13"/>
      <c r="T99" s="11" t="s">
        <v>19</v>
      </c>
      <c r="U99" s="13"/>
      <c r="V99" s="13"/>
      <c r="W99" s="13"/>
      <c r="X99" s="13"/>
      <c r="Y99" s="13"/>
      <c r="Z99" s="13"/>
      <c r="AA99" s="13"/>
    </row>
    <row r="100" spans="1:27" ht="45" x14ac:dyDescent="0.25">
      <c r="A100" s="11" t="s">
        <v>745</v>
      </c>
      <c r="B100" s="12" t="s">
        <v>326</v>
      </c>
      <c r="C100" s="11" t="s">
        <v>327</v>
      </c>
      <c r="D100" s="11" t="s">
        <v>328</v>
      </c>
      <c r="E100" s="11" t="s">
        <v>746</v>
      </c>
      <c r="F100" s="11" t="s">
        <v>237</v>
      </c>
      <c r="G100" s="11" t="s">
        <v>75</v>
      </c>
      <c r="H100" s="11"/>
      <c r="I100" s="11" t="s">
        <v>747</v>
      </c>
      <c r="J100" s="11" t="s">
        <v>748</v>
      </c>
      <c r="K100" s="11"/>
      <c r="L100" s="11" t="s">
        <v>70</v>
      </c>
      <c r="M100" s="11" t="s">
        <v>71</v>
      </c>
      <c r="N100" s="11" t="s">
        <v>72</v>
      </c>
      <c r="O100" s="11" t="s">
        <v>19</v>
      </c>
      <c r="P100" s="13"/>
      <c r="Q100" s="13"/>
      <c r="R100" s="13"/>
      <c r="S100" s="13"/>
      <c r="T100" s="11" t="s">
        <v>19</v>
      </c>
      <c r="U100" s="13"/>
      <c r="V100" s="13"/>
      <c r="W100" s="13"/>
      <c r="X100" s="13"/>
      <c r="Y100" s="13"/>
      <c r="Z100" s="13"/>
      <c r="AA100" s="13"/>
    </row>
    <row r="101" spans="1:27" ht="45" x14ac:dyDescent="0.25">
      <c r="A101" s="11" t="s">
        <v>749</v>
      </c>
      <c r="B101" s="12" t="s">
        <v>326</v>
      </c>
      <c r="C101" s="11" t="s">
        <v>327</v>
      </c>
      <c r="D101" s="11" t="s">
        <v>328</v>
      </c>
      <c r="E101" s="11" t="s">
        <v>750</v>
      </c>
      <c r="F101" s="11" t="s">
        <v>237</v>
      </c>
      <c r="G101" s="11" t="s">
        <v>75</v>
      </c>
      <c r="H101" s="11"/>
      <c r="I101" s="11" t="s">
        <v>751</v>
      </c>
      <c r="J101" s="11" t="s">
        <v>752</v>
      </c>
      <c r="K101" s="11"/>
      <c r="L101" s="11" t="s">
        <v>70</v>
      </c>
      <c r="M101" s="11" t="s">
        <v>71</v>
      </c>
      <c r="N101" s="11" t="s">
        <v>72</v>
      </c>
      <c r="O101" s="11" t="s">
        <v>19</v>
      </c>
      <c r="P101" s="13"/>
      <c r="Q101" s="13"/>
      <c r="R101" s="13"/>
      <c r="S101" s="13"/>
      <c r="T101" s="11" t="s">
        <v>19</v>
      </c>
      <c r="U101" s="13"/>
      <c r="V101" s="13"/>
      <c r="W101" s="13"/>
      <c r="X101" s="13"/>
      <c r="Y101" s="13"/>
      <c r="Z101" s="13"/>
      <c r="AA101" s="13"/>
    </row>
    <row r="102" spans="1:27" ht="45" x14ac:dyDescent="0.25">
      <c r="A102" s="11" t="s">
        <v>753</v>
      </c>
      <c r="B102" s="12" t="s">
        <v>326</v>
      </c>
      <c r="C102" s="11" t="s">
        <v>327</v>
      </c>
      <c r="D102" s="11" t="s">
        <v>328</v>
      </c>
      <c r="E102" s="11" t="s">
        <v>754</v>
      </c>
      <c r="F102" s="11" t="s">
        <v>237</v>
      </c>
      <c r="G102" s="11" t="s">
        <v>75</v>
      </c>
      <c r="H102" s="11"/>
      <c r="I102" s="11" t="s">
        <v>755</v>
      </c>
      <c r="J102" s="11" t="s">
        <v>756</v>
      </c>
      <c r="K102" s="11"/>
      <c r="L102" s="11" t="s">
        <v>70</v>
      </c>
      <c r="M102" s="11" t="s">
        <v>71</v>
      </c>
      <c r="N102" s="11" t="s">
        <v>72</v>
      </c>
      <c r="O102" s="11" t="s">
        <v>19</v>
      </c>
      <c r="P102" s="13"/>
      <c r="Q102" s="13"/>
      <c r="R102" s="13"/>
      <c r="S102" s="13"/>
      <c r="T102" s="11" t="s">
        <v>19</v>
      </c>
      <c r="U102" s="13"/>
      <c r="V102" s="13"/>
      <c r="W102" s="13"/>
      <c r="X102" s="13"/>
      <c r="Y102" s="13"/>
      <c r="Z102" s="13"/>
      <c r="AA102" s="13"/>
    </row>
    <row r="103" spans="1:27" ht="30" x14ac:dyDescent="0.25">
      <c r="A103" s="11" t="s">
        <v>757</v>
      </c>
      <c r="B103" s="12" t="s">
        <v>326</v>
      </c>
      <c r="C103" s="11" t="s">
        <v>327</v>
      </c>
      <c r="D103" s="11" t="s">
        <v>328</v>
      </c>
      <c r="E103" s="11" t="s">
        <v>758</v>
      </c>
      <c r="F103" s="11" t="s">
        <v>237</v>
      </c>
      <c r="G103" s="11" t="s">
        <v>94</v>
      </c>
      <c r="H103" s="11"/>
      <c r="I103" s="11" t="s">
        <v>759</v>
      </c>
      <c r="J103" s="11" t="s">
        <v>760</v>
      </c>
      <c r="K103" s="11"/>
      <c r="L103" s="11" t="s">
        <v>70</v>
      </c>
      <c r="M103" s="11" t="s">
        <v>71</v>
      </c>
      <c r="N103" s="11" t="s">
        <v>72</v>
      </c>
      <c r="O103" s="11" t="s">
        <v>19</v>
      </c>
      <c r="P103" s="13"/>
      <c r="Q103" s="13"/>
      <c r="R103" s="13"/>
      <c r="S103" s="13"/>
      <c r="T103" s="11" t="s">
        <v>19</v>
      </c>
      <c r="U103" s="13"/>
      <c r="V103" s="13"/>
      <c r="W103" s="13"/>
      <c r="X103" s="13"/>
      <c r="Y103" s="13"/>
      <c r="Z103" s="13"/>
      <c r="AA103" s="13"/>
    </row>
    <row r="104" spans="1:27" ht="45" x14ac:dyDescent="0.25">
      <c r="A104" s="11" t="s">
        <v>761</v>
      </c>
      <c r="B104" s="12" t="s">
        <v>326</v>
      </c>
      <c r="C104" s="11" t="s">
        <v>327</v>
      </c>
      <c r="D104" s="11" t="s">
        <v>328</v>
      </c>
      <c r="E104" s="11" t="s">
        <v>762</v>
      </c>
      <c r="F104" s="11" t="s">
        <v>237</v>
      </c>
      <c r="G104" s="11" t="s">
        <v>94</v>
      </c>
      <c r="H104" s="11"/>
      <c r="I104" s="11" t="s">
        <v>763</v>
      </c>
      <c r="J104" s="11" t="s">
        <v>764</v>
      </c>
      <c r="K104" s="11"/>
      <c r="L104" s="11" t="s">
        <v>70</v>
      </c>
      <c r="M104" s="11" t="s">
        <v>71</v>
      </c>
      <c r="N104" s="11" t="s">
        <v>72</v>
      </c>
      <c r="O104" s="11" t="s">
        <v>19</v>
      </c>
      <c r="P104" s="13"/>
      <c r="Q104" s="13"/>
      <c r="R104" s="13"/>
      <c r="S104" s="13"/>
      <c r="T104" s="11" t="s">
        <v>19</v>
      </c>
      <c r="U104" s="13"/>
      <c r="V104" s="13"/>
      <c r="W104" s="13"/>
      <c r="X104" s="13"/>
      <c r="Y104" s="13"/>
      <c r="Z104" s="13"/>
      <c r="AA104" s="13"/>
    </row>
    <row r="105" spans="1:27" ht="30" x14ac:dyDescent="0.25">
      <c r="A105" s="11" t="s">
        <v>765</v>
      </c>
      <c r="B105" s="12" t="s">
        <v>326</v>
      </c>
      <c r="C105" s="11" t="s">
        <v>327</v>
      </c>
      <c r="D105" s="11" t="s">
        <v>328</v>
      </c>
      <c r="E105" s="11" t="s">
        <v>766</v>
      </c>
      <c r="F105" s="11" t="s">
        <v>237</v>
      </c>
      <c r="G105" s="11" t="s">
        <v>94</v>
      </c>
      <c r="H105" s="11"/>
      <c r="I105" s="11" t="s">
        <v>767</v>
      </c>
      <c r="J105" s="11" t="s">
        <v>768</v>
      </c>
      <c r="K105" s="11"/>
      <c r="L105" s="11" t="s">
        <v>70</v>
      </c>
      <c r="M105" s="11" t="s">
        <v>71</v>
      </c>
      <c r="N105" s="11" t="s">
        <v>72</v>
      </c>
      <c r="O105" s="11" t="s">
        <v>19</v>
      </c>
      <c r="P105" s="13"/>
      <c r="Q105" s="13"/>
      <c r="R105" s="13"/>
      <c r="S105" s="13"/>
      <c r="T105" s="11" t="s">
        <v>19</v>
      </c>
      <c r="U105" s="13"/>
      <c r="V105" s="13"/>
      <c r="W105" s="13"/>
      <c r="X105" s="13"/>
      <c r="Y105" s="13"/>
      <c r="Z105" s="13"/>
      <c r="AA105" s="13"/>
    </row>
    <row r="106" spans="1:27" ht="30" x14ac:dyDescent="0.25">
      <c r="A106" s="11" t="s">
        <v>769</v>
      </c>
      <c r="B106" s="12" t="s">
        <v>326</v>
      </c>
      <c r="C106" s="11" t="s">
        <v>327</v>
      </c>
      <c r="D106" s="11" t="s">
        <v>328</v>
      </c>
      <c r="E106" s="11" t="s">
        <v>770</v>
      </c>
      <c r="F106" s="11" t="s">
        <v>237</v>
      </c>
      <c r="G106" s="11" t="s">
        <v>94</v>
      </c>
      <c r="H106" s="11"/>
      <c r="I106" s="11" t="s">
        <v>771</v>
      </c>
      <c r="J106" s="11" t="s">
        <v>772</v>
      </c>
      <c r="K106" s="11"/>
      <c r="L106" s="11" t="s">
        <v>70</v>
      </c>
      <c r="M106" s="11" t="s">
        <v>71</v>
      </c>
      <c r="N106" s="11" t="s">
        <v>72</v>
      </c>
      <c r="O106" s="11" t="s">
        <v>19</v>
      </c>
      <c r="P106" s="13"/>
      <c r="Q106" s="13"/>
      <c r="R106" s="13"/>
      <c r="S106" s="13"/>
      <c r="T106" s="11" t="s">
        <v>19</v>
      </c>
      <c r="U106" s="13"/>
      <c r="V106" s="13"/>
      <c r="W106" s="13"/>
      <c r="X106" s="13"/>
      <c r="Y106" s="13"/>
      <c r="Z106" s="13"/>
      <c r="AA106" s="13"/>
    </row>
    <row r="107" spans="1:27" ht="60" x14ac:dyDescent="0.25">
      <c r="A107" s="11" t="s">
        <v>773</v>
      </c>
      <c r="B107" s="12" t="s">
        <v>333</v>
      </c>
      <c r="C107" s="11" t="s">
        <v>334</v>
      </c>
      <c r="D107" s="11" t="s">
        <v>774</v>
      </c>
      <c r="E107" s="11" t="s">
        <v>775</v>
      </c>
      <c r="F107" s="11" t="s">
        <v>237</v>
      </c>
      <c r="G107" s="11" t="s">
        <v>75</v>
      </c>
      <c r="H107" s="11"/>
      <c r="I107" s="11" t="s">
        <v>776</v>
      </c>
      <c r="J107" s="11" t="s">
        <v>777</v>
      </c>
      <c r="K107" s="11"/>
      <c r="L107" s="11" t="s">
        <v>70</v>
      </c>
      <c r="M107" s="11" t="s">
        <v>71</v>
      </c>
      <c r="N107" s="11" t="s">
        <v>72</v>
      </c>
      <c r="O107" s="11" t="s">
        <v>19</v>
      </c>
      <c r="P107" s="13"/>
      <c r="Q107" s="13"/>
      <c r="R107" s="13"/>
      <c r="S107" s="13"/>
      <c r="T107" s="11" t="s">
        <v>19</v>
      </c>
      <c r="U107" s="13"/>
      <c r="V107" s="13"/>
      <c r="W107" s="13"/>
      <c r="X107" s="13"/>
      <c r="Y107" s="13"/>
      <c r="Z107" s="13"/>
      <c r="AA107" s="13"/>
    </row>
    <row r="108" spans="1:27" ht="45" x14ac:dyDescent="0.25">
      <c r="A108" s="11" t="s">
        <v>778</v>
      </c>
      <c r="B108" s="12" t="s">
        <v>333</v>
      </c>
      <c r="C108" s="11" t="s">
        <v>334</v>
      </c>
      <c r="D108" s="11" t="s">
        <v>575</v>
      </c>
      <c r="E108" s="11" t="s">
        <v>779</v>
      </c>
      <c r="F108" s="11" t="s">
        <v>237</v>
      </c>
      <c r="G108" s="11" t="s">
        <v>75</v>
      </c>
      <c r="H108" s="11"/>
      <c r="I108" s="11" t="s">
        <v>780</v>
      </c>
      <c r="J108" s="11" t="s">
        <v>781</v>
      </c>
      <c r="K108" s="11"/>
      <c r="L108" s="11" t="s">
        <v>70</v>
      </c>
      <c r="M108" s="11" t="s">
        <v>71</v>
      </c>
      <c r="N108" s="11" t="s">
        <v>72</v>
      </c>
      <c r="O108" s="11" t="s">
        <v>19</v>
      </c>
      <c r="P108" s="13"/>
      <c r="Q108" s="13"/>
      <c r="R108" s="13"/>
      <c r="S108" s="13"/>
      <c r="T108" s="11" t="s">
        <v>19</v>
      </c>
      <c r="U108" s="13"/>
      <c r="V108" s="13"/>
      <c r="W108" s="13"/>
      <c r="X108" s="13"/>
      <c r="Y108" s="13"/>
      <c r="Z108" s="13"/>
      <c r="AA108" s="13"/>
    </row>
    <row r="109" spans="1:27" ht="45" x14ac:dyDescent="0.25">
      <c r="A109" s="11" t="s">
        <v>782</v>
      </c>
      <c r="B109" s="12" t="s">
        <v>333</v>
      </c>
      <c r="C109" s="11" t="s">
        <v>334</v>
      </c>
      <c r="D109" s="11" t="s">
        <v>335</v>
      </c>
      <c r="E109" s="11" t="s">
        <v>783</v>
      </c>
      <c r="F109" s="11" t="s">
        <v>237</v>
      </c>
      <c r="G109" s="11" t="s">
        <v>67</v>
      </c>
      <c r="H109" s="11"/>
      <c r="I109" s="11" t="s">
        <v>784</v>
      </c>
      <c r="J109" s="11" t="s">
        <v>785</v>
      </c>
      <c r="K109" s="11"/>
      <c r="L109" s="11" t="s">
        <v>70</v>
      </c>
      <c r="M109" s="11" t="s">
        <v>71</v>
      </c>
      <c r="N109" s="11" t="s">
        <v>72</v>
      </c>
      <c r="O109" s="11" t="s">
        <v>19</v>
      </c>
      <c r="P109" s="13"/>
      <c r="Q109" s="13"/>
      <c r="R109" s="13"/>
      <c r="S109" s="13"/>
      <c r="T109" s="11" t="s">
        <v>19</v>
      </c>
      <c r="U109" s="13"/>
      <c r="V109" s="13"/>
      <c r="W109" s="13"/>
      <c r="X109" s="13"/>
      <c r="Y109" s="13"/>
      <c r="Z109" s="13"/>
      <c r="AA109" s="13"/>
    </row>
    <row r="110" spans="1:27" ht="30" x14ac:dyDescent="0.25">
      <c r="A110" s="11" t="s">
        <v>786</v>
      </c>
      <c r="B110" s="12" t="s">
        <v>333</v>
      </c>
      <c r="C110" s="11" t="s">
        <v>334</v>
      </c>
      <c r="D110" s="11" t="s">
        <v>335</v>
      </c>
      <c r="E110" s="11" t="s">
        <v>787</v>
      </c>
      <c r="F110" s="11" t="s">
        <v>237</v>
      </c>
      <c r="G110" s="11" t="s">
        <v>75</v>
      </c>
      <c r="H110" s="11"/>
      <c r="I110" s="11" t="s">
        <v>788</v>
      </c>
      <c r="J110" s="11" t="s">
        <v>789</v>
      </c>
      <c r="K110" s="11"/>
      <c r="L110" s="11" t="s">
        <v>70</v>
      </c>
      <c r="M110" s="11" t="s">
        <v>71</v>
      </c>
      <c r="N110" s="11" t="s">
        <v>72</v>
      </c>
      <c r="O110" s="11" t="s">
        <v>19</v>
      </c>
      <c r="P110" s="13"/>
      <c r="Q110" s="13"/>
      <c r="R110" s="13"/>
      <c r="S110" s="13"/>
      <c r="T110" s="11" t="s">
        <v>19</v>
      </c>
      <c r="U110" s="13"/>
      <c r="V110" s="13"/>
      <c r="W110" s="13"/>
      <c r="X110" s="13"/>
      <c r="Y110" s="13"/>
      <c r="Z110" s="13"/>
      <c r="AA110" s="13"/>
    </row>
    <row r="111" spans="1:27" ht="30" x14ac:dyDescent="0.25">
      <c r="A111" s="11" t="s">
        <v>790</v>
      </c>
      <c r="B111" s="12" t="s">
        <v>340</v>
      </c>
      <c r="C111" s="11" t="s">
        <v>791</v>
      </c>
      <c r="D111" s="11" t="s">
        <v>792</v>
      </c>
      <c r="E111" s="11" t="s">
        <v>793</v>
      </c>
      <c r="F111" s="11" t="s">
        <v>237</v>
      </c>
      <c r="G111" s="11" t="s">
        <v>67</v>
      </c>
      <c r="H111" s="11"/>
      <c r="I111" s="11" t="s">
        <v>794</v>
      </c>
      <c r="J111" s="11" t="s">
        <v>795</v>
      </c>
      <c r="K111" s="11"/>
      <c r="L111" s="11" t="s">
        <v>70</v>
      </c>
      <c r="M111" s="11" t="s">
        <v>71</v>
      </c>
      <c r="N111" s="11" t="s">
        <v>72</v>
      </c>
      <c r="O111" s="11" t="s">
        <v>19</v>
      </c>
      <c r="P111" s="13"/>
      <c r="Q111" s="13"/>
      <c r="R111" s="13"/>
      <c r="S111" s="13"/>
      <c r="T111" s="11" t="s">
        <v>19</v>
      </c>
      <c r="U111" s="13"/>
      <c r="V111" s="13"/>
      <c r="W111" s="13"/>
      <c r="X111" s="13"/>
      <c r="Y111" s="13"/>
      <c r="Z111" s="13"/>
      <c r="AA111" s="13"/>
    </row>
    <row r="112" spans="1:27" ht="45" x14ac:dyDescent="0.25">
      <c r="A112" s="11" t="s">
        <v>796</v>
      </c>
      <c r="B112" s="12" t="s">
        <v>340</v>
      </c>
      <c r="C112" s="11" t="s">
        <v>341</v>
      </c>
      <c r="D112" s="11" t="s">
        <v>342</v>
      </c>
      <c r="E112" s="11" t="s">
        <v>797</v>
      </c>
      <c r="F112" s="11" t="s">
        <v>237</v>
      </c>
      <c r="G112" s="11" t="s">
        <v>67</v>
      </c>
      <c r="H112" s="11"/>
      <c r="I112" s="11" t="s">
        <v>798</v>
      </c>
      <c r="J112" s="11" t="s">
        <v>799</v>
      </c>
      <c r="K112" s="11"/>
      <c r="L112" s="11" t="s">
        <v>70</v>
      </c>
      <c r="M112" s="11" t="s">
        <v>71</v>
      </c>
      <c r="N112" s="11" t="s">
        <v>72</v>
      </c>
      <c r="O112" s="11" t="s">
        <v>19</v>
      </c>
      <c r="P112" s="13"/>
      <c r="Q112" s="13"/>
      <c r="R112" s="13"/>
      <c r="S112" s="13"/>
      <c r="T112" s="11" t="s">
        <v>19</v>
      </c>
      <c r="U112" s="13"/>
      <c r="V112" s="13"/>
      <c r="W112" s="13"/>
      <c r="X112" s="13"/>
      <c r="Y112" s="13"/>
      <c r="Z112" s="13"/>
      <c r="AA112" s="13"/>
    </row>
    <row r="113" spans="1:27" ht="30" x14ac:dyDescent="0.25">
      <c r="A113" s="11" t="s">
        <v>800</v>
      </c>
      <c r="B113" s="12" t="s">
        <v>340</v>
      </c>
      <c r="C113" s="11" t="s">
        <v>341</v>
      </c>
      <c r="D113" s="11" t="s">
        <v>342</v>
      </c>
      <c r="E113" s="11" t="s">
        <v>801</v>
      </c>
      <c r="F113" s="11" t="s">
        <v>237</v>
      </c>
      <c r="G113" s="11" t="s">
        <v>67</v>
      </c>
      <c r="H113" s="11"/>
      <c r="I113" s="11" t="s">
        <v>802</v>
      </c>
      <c r="J113" s="11" t="s">
        <v>803</v>
      </c>
      <c r="K113" s="11"/>
      <c r="L113" s="11" t="s">
        <v>70</v>
      </c>
      <c r="M113" s="11" t="s">
        <v>71</v>
      </c>
      <c r="N113" s="11" t="s">
        <v>72</v>
      </c>
      <c r="O113" s="11" t="s">
        <v>19</v>
      </c>
      <c r="P113" s="13"/>
      <c r="Q113" s="13"/>
      <c r="R113" s="13"/>
      <c r="S113" s="13"/>
      <c r="T113" s="11" t="s">
        <v>19</v>
      </c>
      <c r="U113" s="13"/>
      <c r="V113" s="13"/>
      <c r="W113" s="13"/>
      <c r="X113" s="13"/>
      <c r="Y113" s="13"/>
      <c r="Z113" s="13"/>
      <c r="AA113" s="13"/>
    </row>
    <row r="114" spans="1:27" ht="30" x14ac:dyDescent="0.25">
      <c r="A114" s="11" t="s">
        <v>804</v>
      </c>
      <c r="B114" s="12" t="s">
        <v>340</v>
      </c>
      <c r="C114" s="11" t="s">
        <v>341</v>
      </c>
      <c r="D114" s="11" t="s">
        <v>342</v>
      </c>
      <c r="E114" s="11" t="s">
        <v>805</v>
      </c>
      <c r="F114" s="11" t="s">
        <v>237</v>
      </c>
      <c r="G114" s="11" t="s">
        <v>67</v>
      </c>
      <c r="H114" s="11"/>
      <c r="I114" s="11" t="s">
        <v>806</v>
      </c>
      <c r="J114" s="11" t="s">
        <v>807</v>
      </c>
      <c r="K114" s="11"/>
      <c r="L114" s="11" t="s">
        <v>70</v>
      </c>
      <c r="M114" s="11" t="s">
        <v>71</v>
      </c>
      <c r="N114" s="11" t="s">
        <v>72</v>
      </c>
      <c r="O114" s="11" t="s">
        <v>19</v>
      </c>
      <c r="P114" s="13"/>
      <c r="Q114" s="13"/>
      <c r="R114" s="13"/>
      <c r="S114" s="13"/>
      <c r="T114" s="11" t="s">
        <v>19</v>
      </c>
      <c r="U114" s="13"/>
      <c r="V114" s="13"/>
      <c r="W114" s="13"/>
      <c r="X114" s="13"/>
      <c r="Y114" s="13"/>
      <c r="Z114" s="13"/>
      <c r="AA114" s="13"/>
    </row>
    <row r="115" spans="1:27" ht="30" x14ac:dyDescent="0.25">
      <c r="A115" s="11" t="s">
        <v>808</v>
      </c>
      <c r="B115" s="12" t="s">
        <v>340</v>
      </c>
      <c r="C115" s="11" t="s">
        <v>341</v>
      </c>
      <c r="D115" s="11" t="s">
        <v>342</v>
      </c>
      <c r="E115" s="11" t="s">
        <v>809</v>
      </c>
      <c r="F115" s="11" t="s">
        <v>237</v>
      </c>
      <c r="G115" s="11" t="s">
        <v>67</v>
      </c>
      <c r="H115" s="11"/>
      <c r="I115" s="11" t="s">
        <v>810</v>
      </c>
      <c r="J115" s="11" t="s">
        <v>811</v>
      </c>
      <c r="K115" s="11"/>
      <c r="L115" s="11" t="s">
        <v>70</v>
      </c>
      <c r="M115" s="11" t="s">
        <v>71</v>
      </c>
      <c r="N115" s="11" t="s">
        <v>72</v>
      </c>
      <c r="O115" s="11" t="s">
        <v>19</v>
      </c>
      <c r="P115" s="13"/>
      <c r="Q115" s="13"/>
      <c r="R115" s="13"/>
      <c r="S115" s="13"/>
      <c r="T115" s="11" t="s">
        <v>19</v>
      </c>
      <c r="U115" s="13"/>
      <c r="V115" s="13"/>
      <c r="W115" s="13"/>
      <c r="X115" s="13"/>
      <c r="Y115" s="13"/>
      <c r="Z115" s="13"/>
      <c r="AA115" s="13"/>
    </row>
    <row r="116" spans="1:27" ht="45" x14ac:dyDescent="0.25">
      <c r="A116" s="11" t="s">
        <v>812</v>
      </c>
      <c r="B116" s="12" t="s">
        <v>340</v>
      </c>
      <c r="C116" s="11" t="s">
        <v>584</v>
      </c>
      <c r="D116" s="11" t="s">
        <v>585</v>
      </c>
      <c r="E116" s="11" t="s">
        <v>813</v>
      </c>
      <c r="F116" s="11" t="s">
        <v>237</v>
      </c>
      <c r="G116" s="11" t="s">
        <v>75</v>
      </c>
      <c r="H116" s="11"/>
      <c r="I116" s="11" t="s">
        <v>814</v>
      </c>
      <c r="J116" s="11" t="s">
        <v>815</v>
      </c>
      <c r="K116" s="11"/>
      <c r="L116" s="11" t="s">
        <v>70</v>
      </c>
      <c r="M116" s="11" t="s">
        <v>71</v>
      </c>
      <c r="N116" s="11" t="s">
        <v>72</v>
      </c>
      <c r="O116" s="11" t="s">
        <v>19</v>
      </c>
      <c r="P116" s="13"/>
      <c r="Q116" s="13"/>
      <c r="R116" s="13"/>
      <c r="S116" s="13"/>
      <c r="T116" s="11" t="s">
        <v>19</v>
      </c>
      <c r="U116" s="13"/>
      <c r="V116" s="13"/>
      <c r="W116" s="13"/>
      <c r="X116" s="13"/>
      <c r="Y116" s="13"/>
      <c r="Z116" s="13"/>
      <c r="AA116" s="13"/>
    </row>
    <row r="117" spans="1:27" ht="30" x14ac:dyDescent="0.25">
      <c r="A117" s="11" t="s">
        <v>816</v>
      </c>
      <c r="B117" s="12" t="s">
        <v>340</v>
      </c>
      <c r="C117" s="11" t="s">
        <v>584</v>
      </c>
      <c r="D117" s="11" t="s">
        <v>585</v>
      </c>
      <c r="E117" s="11" t="s">
        <v>817</v>
      </c>
      <c r="F117" s="11" t="s">
        <v>237</v>
      </c>
      <c r="G117" s="11" t="s">
        <v>75</v>
      </c>
      <c r="H117" s="11"/>
      <c r="I117" s="11" t="s">
        <v>818</v>
      </c>
      <c r="J117" s="11" t="s">
        <v>819</v>
      </c>
      <c r="K117" s="11"/>
      <c r="L117" s="11" t="s">
        <v>70</v>
      </c>
      <c r="M117" s="11" t="s">
        <v>71</v>
      </c>
      <c r="N117" s="11" t="s">
        <v>72</v>
      </c>
      <c r="O117" s="11" t="s">
        <v>19</v>
      </c>
      <c r="P117" s="13"/>
      <c r="Q117" s="13"/>
      <c r="R117" s="13"/>
      <c r="S117" s="13"/>
      <c r="T117" s="11" t="s">
        <v>19</v>
      </c>
      <c r="U117" s="13"/>
      <c r="V117" s="13"/>
      <c r="W117" s="13"/>
      <c r="X117" s="13"/>
      <c r="Y117" s="13"/>
      <c r="Z117" s="13"/>
      <c r="AA117" s="13"/>
    </row>
    <row r="118" spans="1:27" ht="45" x14ac:dyDescent="0.25">
      <c r="A118" s="11" t="s">
        <v>820</v>
      </c>
      <c r="B118" s="12" t="s">
        <v>340</v>
      </c>
      <c r="C118" s="11" t="s">
        <v>372</v>
      </c>
      <c r="D118" s="11" t="s">
        <v>381</v>
      </c>
      <c r="E118" s="11" t="s">
        <v>821</v>
      </c>
      <c r="F118" s="11" t="s">
        <v>237</v>
      </c>
      <c r="G118" s="11" t="s">
        <v>75</v>
      </c>
      <c r="H118" s="11"/>
      <c r="I118" s="11" t="s">
        <v>822</v>
      </c>
      <c r="J118" s="11" t="s">
        <v>823</v>
      </c>
      <c r="K118" s="11"/>
      <c r="L118" s="11" t="s">
        <v>70</v>
      </c>
      <c r="M118" s="11" t="s">
        <v>71</v>
      </c>
      <c r="N118" s="11" t="s">
        <v>72</v>
      </c>
      <c r="O118" s="11" t="s">
        <v>19</v>
      </c>
      <c r="P118" s="13"/>
      <c r="Q118" s="13"/>
      <c r="R118" s="13"/>
      <c r="S118" s="13"/>
      <c r="T118" s="11" t="s">
        <v>19</v>
      </c>
      <c r="U118" s="13"/>
      <c r="V118" s="13"/>
      <c r="W118" s="13"/>
      <c r="X118" s="13"/>
      <c r="Y118" s="13"/>
      <c r="Z118" s="13"/>
      <c r="AA118" s="13"/>
    </row>
    <row r="119" spans="1:27" ht="45" x14ac:dyDescent="0.25">
      <c r="A119" s="11" t="s">
        <v>824</v>
      </c>
      <c r="B119" s="12" t="s">
        <v>340</v>
      </c>
      <c r="C119" s="11" t="s">
        <v>372</v>
      </c>
      <c r="D119" s="11" t="s">
        <v>381</v>
      </c>
      <c r="E119" s="11" t="s">
        <v>825</v>
      </c>
      <c r="F119" s="11" t="s">
        <v>237</v>
      </c>
      <c r="G119" s="11" t="s">
        <v>75</v>
      </c>
      <c r="H119" s="11"/>
      <c r="I119" s="11" t="s">
        <v>826</v>
      </c>
      <c r="J119" s="11" t="s">
        <v>827</v>
      </c>
      <c r="K119" s="11"/>
      <c r="L119" s="11" t="s">
        <v>70</v>
      </c>
      <c r="M119" s="11" t="s">
        <v>71</v>
      </c>
      <c r="N119" s="11" t="s">
        <v>72</v>
      </c>
      <c r="O119" s="11" t="s">
        <v>19</v>
      </c>
      <c r="P119" s="13"/>
      <c r="Q119" s="13"/>
      <c r="R119" s="13"/>
      <c r="S119" s="13"/>
      <c r="T119" s="11" t="s">
        <v>19</v>
      </c>
      <c r="U119" s="13"/>
      <c r="V119" s="13"/>
      <c r="W119" s="13"/>
      <c r="X119" s="13"/>
      <c r="Y119" s="13"/>
      <c r="Z119" s="13"/>
      <c r="AA119" s="13"/>
    </row>
    <row r="120" spans="1:27" ht="30" x14ac:dyDescent="0.25">
      <c r="A120" s="11" t="s">
        <v>828</v>
      </c>
      <c r="B120" s="12" t="s">
        <v>340</v>
      </c>
      <c r="C120" s="11" t="s">
        <v>791</v>
      </c>
      <c r="D120" s="11" t="s">
        <v>829</v>
      </c>
      <c r="E120" s="11" t="s">
        <v>830</v>
      </c>
      <c r="F120" s="11" t="s">
        <v>237</v>
      </c>
      <c r="G120" s="11" t="s">
        <v>67</v>
      </c>
      <c r="H120" s="11"/>
      <c r="I120" s="11" t="s">
        <v>831</v>
      </c>
      <c r="J120" s="11" t="s">
        <v>832</v>
      </c>
      <c r="K120" s="11"/>
      <c r="L120" s="11" t="s">
        <v>70</v>
      </c>
      <c r="M120" s="11" t="s">
        <v>71</v>
      </c>
      <c r="N120" s="11" t="s">
        <v>72</v>
      </c>
      <c r="O120" s="11" t="s">
        <v>19</v>
      </c>
      <c r="P120" s="13"/>
      <c r="Q120" s="13"/>
      <c r="R120" s="13"/>
      <c r="S120" s="13"/>
      <c r="T120" s="11" t="s">
        <v>19</v>
      </c>
      <c r="U120" s="13"/>
      <c r="V120" s="13"/>
      <c r="W120" s="13"/>
      <c r="X120" s="13"/>
      <c r="Y120" s="13"/>
      <c r="Z120" s="13"/>
      <c r="AA120" s="13"/>
    </row>
    <row r="121" spans="1:27" ht="30" x14ac:dyDescent="0.25">
      <c r="A121" s="11" t="s">
        <v>833</v>
      </c>
      <c r="B121" s="12" t="s">
        <v>340</v>
      </c>
      <c r="C121" s="11" t="s">
        <v>791</v>
      </c>
      <c r="D121" s="11" t="s">
        <v>829</v>
      </c>
      <c r="E121" s="11" t="s">
        <v>834</v>
      </c>
      <c r="F121" s="11" t="s">
        <v>237</v>
      </c>
      <c r="G121" s="11" t="s">
        <v>67</v>
      </c>
      <c r="H121" s="11"/>
      <c r="I121" s="11" t="s">
        <v>835</v>
      </c>
      <c r="J121" s="11" t="s">
        <v>836</v>
      </c>
      <c r="K121" s="11"/>
      <c r="L121" s="11" t="s">
        <v>70</v>
      </c>
      <c r="M121" s="11" t="s">
        <v>71</v>
      </c>
      <c r="N121" s="11" t="s">
        <v>72</v>
      </c>
      <c r="O121" s="11" t="s">
        <v>19</v>
      </c>
      <c r="P121" s="13"/>
      <c r="Q121" s="13"/>
      <c r="R121" s="13"/>
      <c r="S121" s="13"/>
      <c r="T121" s="11" t="s">
        <v>19</v>
      </c>
      <c r="U121" s="13"/>
      <c r="V121" s="13"/>
      <c r="W121" s="13"/>
      <c r="X121" s="13"/>
      <c r="Y121" s="13"/>
      <c r="Z121" s="13"/>
      <c r="AA121" s="13"/>
    </row>
    <row r="122" spans="1:27" ht="45" x14ac:dyDescent="0.25">
      <c r="A122" s="11" t="s">
        <v>837</v>
      </c>
      <c r="B122" s="12" t="s">
        <v>340</v>
      </c>
      <c r="C122" s="11" t="s">
        <v>482</v>
      </c>
      <c r="D122" s="11" t="s">
        <v>591</v>
      </c>
      <c r="E122" s="11" t="s">
        <v>838</v>
      </c>
      <c r="F122" s="11" t="s">
        <v>237</v>
      </c>
      <c r="G122" s="11" t="s">
        <v>67</v>
      </c>
      <c r="H122" s="11"/>
      <c r="I122" s="11" t="s">
        <v>839</v>
      </c>
      <c r="J122" s="11" t="s">
        <v>840</v>
      </c>
      <c r="K122" s="11"/>
      <c r="L122" s="11" t="s">
        <v>70</v>
      </c>
      <c r="M122" s="11" t="s">
        <v>71</v>
      </c>
      <c r="N122" s="11" t="s">
        <v>72</v>
      </c>
      <c r="O122" s="11" t="s">
        <v>19</v>
      </c>
      <c r="P122" s="13"/>
      <c r="Q122" s="13"/>
      <c r="R122" s="13"/>
      <c r="S122" s="13"/>
      <c r="T122" s="11" t="s">
        <v>19</v>
      </c>
      <c r="U122" s="13"/>
      <c r="V122" s="13"/>
      <c r="W122" s="13"/>
      <c r="X122" s="13"/>
      <c r="Y122" s="13"/>
      <c r="Z122" s="13"/>
      <c r="AA122" s="13"/>
    </row>
    <row r="123" spans="1:27" ht="60" x14ac:dyDescent="0.25">
      <c r="A123" s="11" t="s">
        <v>841</v>
      </c>
      <c r="B123" s="12" t="s">
        <v>340</v>
      </c>
      <c r="C123" s="11" t="s">
        <v>482</v>
      </c>
      <c r="D123" s="11" t="s">
        <v>591</v>
      </c>
      <c r="E123" s="11" t="s">
        <v>842</v>
      </c>
      <c r="F123" s="11" t="s">
        <v>237</v>
      </c>
      <c r="G123" s="11" t="s">
        <v>67</v>
      </c>
      <c r="H123" s="11"/>
      <c r="I123" s="11" t="s">
        <v>843</v>
      </c>
      <c r="J123" s="11" t="s">
        <v>844</v>
      </c>
      <c r="K123" s="11"/>
      <c r="L123" s="11" t="s">
        <v>70</v>
      </c>
      <c r="M123" s="11" t="s">
        <v>71</v>
      </c>
      <c r="N123" s="11" t="s">
        <v>72</v>
      </c>
      <c r="O123" s="11" t="s">
        <v>19</v>
      </c>
      <c r="P123" s="13"/>
      <c r="Q123" s="13"/>
      <c r="R123" s="13"/>
      <c r="S123" s="13"/>
      <c r="T123" s="11" t="s">
        <v>19</v>
      </c>
      <c r="U123" s="13"/>
      <c r="V123" s="13"/>
      <c r="W123" s="13"/>
      <c r="X123" s="13"/>
      <c r="Y123" s="13"/>
      <c r="Z123" s="13"/>
      <c r="AA123" s="13"/>
    </row>
    <row r="124" spans="1:27" ht="60" x14ac:dyDescent="0.25">
      <c r="A124" s="11" t="s">
        <v>845</v>
      </c>
      <c r="B124" s="12" t="s">
        <v>340</v>
      </c>
      <c r="C124" s="11" t="s">
        <v>596</v>
      </c>
      <c r="D124" s="11" t="s">
        <v>597</v>
      </c>
      <c r="E124" s="11" t="s">
        <v>846</v>
      </c>
      <c r="F124" s="11" t="s">
        <v>237</v>
      </c>
      <c r="G124" s="11" t="s">
        <v>67</v>
      </c>
      <c r="H124" s="11"/>
      <c r="I124" s="11" t="s">
        <v>847</v>
      </c>
      <c r="J124" s="11" t="s">
        <v>848</v>
      </c>
      <c r="K124" s="11"/>
      <c r="L124" s="11" t="s">
        <v>70</v>
      </c>
      <c r="M124" s="11" t="s">
        <v>71</v>
      </c>
      <c r="N124" s="11" t="s">
        <v>72</v>
      </c>
      <c r="O124" s="11" t="s">
        <v>19</v>
      </c>
      <c r="P124" s="13"/>
      <c r="Q124" s="13"/>
      <c r="R124" s="13"/>
      <c r="S124" s="13"/>
      <c r="T124" s="11" t="s">
        <v>19</v>
      </c>
      <c r="U124" s="13"/>
      <c r="V124" s="13"/>
      <c r="W124" s="13"/>
      <c r="X124" s="13"/>
      <c r="Y124" s="13"/>
      <c r="Z124" s="13"/>
      <c r="AA124" s="13"/>
    </row>
    <row r="125" spans="1:27" ht="30" x14ac:dyDescent="0.25">
      <c r="A125" s="11" t="s">
        <v>849</v>
      </c>
      <c r="B125" s="12" t="s">
        <v>340</v>
      </c>
      <c r="C125" s="11" t="s">
        <v>596</v>
      </c>
      <c r="D125" s="11" t="s">
        <v>597</v>
      </c>
      <c r="E125" s="11" t="s">
        <v>850</v>
      </c>
      <c r="F125" s="11" t="s">
        <v>237</v>
      </c>
      <c r="G125" s="11" t="s">
        <v>67</v>
      </c>
      <c r="H125" s="11"/>
      <c r="I125" s="11" t="s">
        <v>851</v>
      </c>
      <c r="J125" s="11" t="s">
        <v>852</v>
      </c>
      <c r="K125" s="11"/>
      <c r="L125" s="11" t="s">
        <v>70</v>
      </c>
      <c r="M125" s="11" t="s">
        <v>71</v>
      </c>
      <c r="N125" s="11" t="s">
        <v>72</v>
      </c>
      <c r="O125" s="11" t="s">
        <v>19</v>
      </c>
      <c r="P125" s="13"/>
      <c r="Q125" s="13"/>
      <c r="R125" s="13"/>
      <c r="S125" s="13"/>
      <c r="T125" s="11" t="s">
        <v>19</v>
      </c>
      <c r="U125" s="13"/>
      <c r="V125" s="13"/>
      <c r="W125" s="13"/>
      <c r="X125" s="13"/>
      <c r="Y125" s="13"/>
      <c r="Z125" s="13"/>
      <c r="AA125" s="13"/>
    </row>
    <row r="126" spans="1:27" ht="60" x14ac:dyDescent="0.25">
      <c r="A126" s="11" t="s">
        <v>853</v>
      </c>
      <c r="B126" s="12" t="s">
        <v>315</v>
      </c>
      <c r="C126" s="11" t="s">
        <v>411</v>
      </c>
      <c r="D126" s="11" t="s">
        <v>854</v>
      </c>
      <c r="E126" s="11" t="s">
        <v>855</v>
      </c>
      <c r="F126" s="11" t="s">
        <v>237</v>
      </c>
      <c r="G126" s="11" t="s">
        <v>67</v>
      </c>
      <c r="H126" s="11"/>
      <c r="I126" s="11" t="s">
        <v>856</v>
      </c>
      <c r="J126" s="11" t="s">
        <v>857</v>
      </c>
      <c r="K126" s="11"/>
      <c r="L126" s="11" t="s">
        <v>70</v>
      </c>
      <c r="M126" s="11" t="s">
        <v>71</v>
      </c>
      <c r="N126" s="11" t="s">
        <v>72</v>
      </c>
      <c r="O126" s="11" t="s">
        <v>19</v>
      </c>
      <c r="P126" s="13"/>
      <c r="Q126" s="13"/>
      <c r="R126" s="13"/>
      <c r="S126" s="13"/>
      <c r="T126" s="11" t="s">
        <v>19</v>
      </c>
      <c r="U126" s="13"/>
      <c r="V126" s="13"/>
      <c r="W126" s="13"/>
      <c r="X126" s="13"/>
      <c r="Y126" s="13"/>
      <c r="Z126" s="13"/>
      <c r="AA126" s="13"/>
    </row>
    <row r="127" spans="1:27" ht="60" x14ac:dyDescent="0.25">
      <c r="A127" s="11" t="s">
        <v>858</v>
      </c>
      <c r="B127" s="12" t="s">
        <v>315</v>
      </c>
      <c r="C127" s="11" t="s">
        <v>411</v>
      </c>
      <c r="D127" s="11" t="s">
        <v>854</v>
      </c>
      <c r="E127" s="11" t="s">
        <v>859</v>
      </c>
      <c r="F127" s="11" t="s">
        <v>237</v>
      </c>
      <c r="G127" s="11" t="s">
        <v>67</v>
      </c>
      <c r="H127" s="11"/>
      <c r="I127" s="11" t="s">
        <v>860</v>
      </c>
      <c r="J127" s="11" t="s">
        <v>861</v>
      </c>
      <c r="K127" s="11"/>
      <c r="L127" s="11" t="s">
        <v>70</v>
      </c>
      <c r="M127" s="11" t="s">
        <v>71</v>
      </c>
      <c r="N127" s="11" t="s">
        <v>72</v>
      </c>
      <c r="O127" s="11" t="s">
        <v>19</v>
      </c>
      <c r="P127" s="13"/>
      <c r="Q127" s="13"/>
      <c r="R127" s="13"/>
      <c r="S127" s="13"/>
      <c r="T127" s="11" t="s">
        <v>19</v>
      </c>
      <c r="U127" s="13"/>
      <c r="V127" s="13"/>
      <c r="W127" s="13"/>
      <c r="X127" s="13"/>
      <c r="Y127" s="13"/>
      <c r="Z127" s="13"/>
      <c r="AA127" s="13"/>
    </row>
    <row r="128" spans="1:27" ht="45" x14ac:dyDescent="0.25">
      <c r="A128" s="11" t="s">
        <v>862</v>
      </c>
      <c r="B128" s="12" t="s">
        <v>315</v>
      </c>
      <c r="C128" s="11" t="s">
        <v>411</v>
      </c>
      <c r="D128" s="11" t="s">
        <v>854</v>
      </c>
      <c r="E128" s="11" t="s">
        <v>863</v>
      </c>
      <c r="F128" s="11" t="s">
        <v>237</v>
      </c>
      <c r="G128" s="11" t="s">
        <v>67</v>
      </c>
      <c r="H128" s="11"/>
      <c r="I128" s="11" t="s">
        <v>864</v>
      </c>
      <c r="J128" s="11" t="s">
        <v>865</v>
      </c>
      <c r="K128" s="11"/>
      <c r="L128" s="11" t="s">
        <v>70</v>
      </c>
      <c r="M128" s="11" t="s">
        <v>71</v>
      </c>
      <c r="N128" s="11" t="s">
        <v>72</v>
      </c>
      <c r="O128" s="11" t="s">
        <v>19</v>
      </c>
      <c r="P128" s="13"/>
      <c r="Q128" s="13"/>
      <c r="R128" s="13"/>
      <c r="S128" s="13"/>
      <c r="T128" s="11" t="s">
        <v>19</v>
      </c>
      <c r="U128" s="13"/>
      <c r="V128" s="13"/>
      <c r="W128" s="13"/>
      <c r="X128" s="13"/>
      <c r="Y128" s="13"/>
      <c r="Z128" s="13"/>
      <c r="AA128" s="13"/>
    </row>
    <row r="129" spans="1:27" ht="60" x14ac:dyDescent="0.25">
      <c r="A129" s="11" t="s">
        <v>866</v>
      </c>
      <c r="B129" s="12" t="s">
        <v>315</v>
      </c>
      <c r="C129" s="11" t="s">
        <v>411</v>
      </c>
      <c r="D129" s="11" t="s">
        <v>854</v>
      </c>
      <c r="E129" s="11" t="s">
        <v>867</v>
      </c>
      <c r="F129" s="11" t="s">
        <v>237</v>
      </c>
      <c r="G129" s="11" t="s">
        <v>75</v>
      </c>
      <c r="H129" s="11"/>
      <c r="I129" s="11" t="s">
        <v>868</v>
      </c>
      <c r="J129" s="11" t="s">
        <v>869</v>
      </c>
      <c r="K129" s="11"/>
      <c r="L129" s="11" t="s">
        <v>70</v>
      </c>
      <c r="M129" s="11" t="s">
        <v>71</v>
      </c>
      <c r="N129" s="11" t="s">
        <v>72</v>
      </c>
      <c r="O129" s="11" t="s">
        <v>19</v>
      </c>
      <c r="P129" s="13"/>
      <c r="Q129" s="13"/>
      <c r="R129" s="13"/>
      <c r="S129" s="13"/>
      <c r="T129" s="11" t="s">
        <v>19</v>
      </c>
      <c r="U129" s="13"/>
      <c r="V129" s="13"/>
      <c r="W129" s="13"/>
      <c r="X129" s="13"/>
      <c r="Y129" s="13"/>
      <c r="Z129" s="13"/>
      <c r="AA129" s="13"/>
    </row>
    <row r="130" spans="1:27" ht="45" x14ac:dyDescent="0.25">
      <c r="A130" s="11" t="s">
        <v>870</v>
      </c>
      <c r="B130" s="12" t="s">
        <v>315</v>
      </c>
      <c r="C130" s="11" t="s">
        <v>411</v>
      </c>
      <c r="D130" s="11" t="s">
        <v>854</v>
      </c>
      <c r="E130" s="11" t="s">
        <v>871</v>
      </c>
      <c r="F130" s="11" t="s">
        <v>237</v>
      </c>
      <c r="G130" s="11" t="s">
        <v>75</v>
      </c>
      <c r="H130" s="11"/>
      <c r="I130" s="11" t="s">
        <v>872</v>
      </c>
      <c r="J130" s="11" t="s">
        <v>873</v>
      </c>
      <c r="K130" s="11"/>
      <c r="L130" s="11" t="s">
        <v>70</v>
      </c>
      <c r="M130" s="11" t="s">
        <v>71</v>
      </c>
      <c r="N130" s="11" t="s">
        <v>72</v>
      </c>
      <c r="O130" s="11" t="s">
        <v>19</v>
      </c>
      <c r="P130" s="13"/>
      <c r="Q130" s="13"/>
      <c r="R130" s="13"/>
      <c r="S130" s="13"/>
      <c r="T130" s="11" t="s">
        <v>19</v>
      </c>
      <c r="U130" s="13"/>
      <c r="V130" s="13"/>
      <c r="W130" s="13"/>
      <c r="X130" s="13"/>
      <c r="Y130" s="13"/>
      <c r="Z130" s="13"/>
      <c r="AA130" s="13"/>
    </row>
    <row r="131" spans="1:27" ht="45" x14ac:dyDescent="0.25">
      <c r="A131" s="11" t="s">
        <v>874</v>
      </c>
      <c r="B131" s="12" t="s">
        <v>315</v>
      </c>
      <c r="C131" s="11" t="s">
        <v>411</v>
      </c>
      <c r="D131" s="11" t="s">
        <v>854</v>
      </c>
      <c r="E131" s="11" t="s">
        <v>875</v>
      </c>
      <c r="F131" s="11" t="s">
        <v>237</v>
      </c>
      <c r="G131" s="11" t="s">
        <v>75</v>
      </c>
      <c r="H131" s="11"/>
      <c r="I131" s="11" t="s">
        <v>876</v>
      </c>
      <c r="J131" s="11" t="s">
        <v>877</v>
      </c>
      <c r="K131" s="11"/>
      <c r="L131" s="11" t="s">
        <v>70</v>
      </c>
      <c r="M131" s="11" t="s">
        <v>71</v>
      </c>
      <c r="N131" s="11" t="s">
        <v>72</v>
      </c>
      <c r="O131" s="11" t="s">
        <v>19</v>
      </c>
      <c r="P131" s="13"/>
      <c r="Q131" s="13"/>
      <c r="R131" s="13"/>
      <c r="S131" s="13"/>
      <c r="T131" s="11" t="s">
        <v>19</v>
      </c>
      <c r="U131" s="13"/>
      <c r="V131" s="13"/>
      <c r="W131" s="13"/>
      <c r="X131" s="13"/>
      <c r="Y131" s="13"/>
      <c r="Z131" s="13"/>
      <c r="AA131" s="13"/>
    </row>
    <row r="132" spans="1:27" ht="45" x14ac:dyDescent="0.25">
      <c r="A132" s="11" t="s">
        <v>878</v>
      </c>
      <c r="B132" s="12" t="s">
        <v>315</v>
      </c>
      <c r="C132" s="11" t="s">
        <v>411</v>
      </c>
      <c r="D132" s="11" t="s">
        <v>879</v>
      </c>
      <c r="E132" s="11" t="s">
        <v>880</v>
      </c>
      <c r="F132" s="11" t="s">
        <v>237</v>
      </c>
      <c r="G132" s="11" t="s">
        <v>75</v>
      </c>
      <c r="H132" s="11"/>
      <c r="I132" s="11" t="s">
        <v>881</v>
      </c>
      <c r="J132" s="11" t="s">
        <v>882</v>
      </c>
      <c r="K132" s="11"/>
      <c r="L132" s="11" t="s">
        <v>70</v>
      </c>
      <c r="M132" s="11" t="s">
        <v>71</v>
      </c>
      <c r="N132" s="11" t="s">
        <v>72</v>
      </c>
      <c r="O132" s="11" t="s">
        <v>19</v>
      </c>
      <c r="P132" s="13"/>
      <c r="Q132" s="13"/>
      <c r="R132" s="13"/>
      <c r="S132" s="13"/>
      <c r="T132" s="11" t="s">
        <v>19</v>
      </c>
      <c r="U132" s="13"/>
      <c r="V132" s="13"/>
      <c r="W132" s="13"/>
      <c r="X132" s="13"/>
      <c r="Y132" s="13"/>
      <c r="Z132" s="13"/>
      <c r="AA132" s="13"/>
    </row>
    <row r="133" spans="1:27" ht="75" x14ac:dyDescent="0.25">
      <c r="A133" s="11" t="s">
        <v>883</v>
      </c>
      <c r="B133" s="12" t="s">
        <v>315</v>
      </c>
      <c r="C133" s="11" t="s">
        <v>411</v>
      </c>
      <c r="D133" s="11" t="s">
        <v>412</v>
      </c>
      <c r="E133" s="11" t="s">
        <v>884</v>
      </c>
      <c r="F133" s="11" t="s">
        <v>237</v>
      </c>
      <c r="G133" s="11" t="s">
        <v>75</v>
      </c>
      <c r="H133" s="11"/>
      <c r="I133" s="11" t="s">
        <v>885</v>
      </c>
      <c r="J133" s="11" t="s">
        <v>886</v>
      </c>
      <c r="K133" s="11"/>
      <c r="L133" s="11" t="s">
        <v>70</v>
      </c>
      <c r="M133" s="11" t="s">
        <v>71</v>
      </c>
      <c r="N133" s="11" t="s">
        <v>72</v>
      </c>
      <c r="O133" s="11" t="s">
        <v>19</v>
      </c>
      <c r="P133" s="13"/>
      <c r="Q133" s="13"/>
      <c r="R133" s="13"/>
      <c r="S133" s="13"/>
      <c r="T133" s="11" t="s">
        <v>19</v>
      </c>
      <c r="U133" s="13"/>
      <c r="V133" s="13"/>
      <c r="W133" s="13"/>
      <c r="X133" s="13"/>
      <c r="Y133" s="13"/>
      <c r="Z133" s="13"/>
      <c r="AA133" s="13"/>
    </row>
    <row r="134" spans="1:27" ht="60" x14ac:dyDescent="0.25">
      <c r="A134" s="11" t="s">
        <v>887</v>
      </c>
      <c r="B134" s="12" t="s">
        <v>424</v>
      </c>
      <c r="C134" s="11" t="s">
        <v>418</v>
      </c>
      <c r="D134" s="11" t="s">
        <v>425</v>
      </c>
      <c r="E134" s="11" t="s">
        <v>888</v>
      </c>
      <c r="F134" s="11" t="s">
        <v>237</v>
      </c>
      <c r="G134" s="11" t="s">
        <v>75</v>
      </c>
      <c r="H134" s="11"/>
      <c r="I134" s="11" t="s">
        <v>889</v>
      </c>
      <c r="J134" s="11" t="s">
        <v>890</v>
      </c>
      <c r="K134" s="11"/>
      <c r="L134" s="11" t="s">
        <v>70</v>
      </c>
      <c r="M134" s="11" t="s">
        <v>71</v>
      </c>
      <c r="N134" s="11" t="s">
        <v>72</v>
      </c>
      <c r="O134" s="11" t="s">
        <v>19</v>
      </c>
      <c r="P134" s="13"/>
      <c r="Q134" s="13"/>
      <c r="R134" s="13"/>
      <c r="S134" s="13"/>
      <c r="T134" s="11" t="s">
        <v>19</v>
      </c>
      <c r="U134" s="13"/>
      <c r="V134" s="13"/>
      <c r="W134" s="13"/>
      <c r="X134" s="13"/>
      <c r="Y134" s="13"/>
      <c r="Z134" s="13"/>
      <c r="AA134" s="13"/>
    </row>
    <row r="135" spans="1:27" ht="60" x14ac:dyDescent="0.25">
      <c r="A135" s="11" t="s">
        <v>891</v>
      </c>
      <c r="B135" s="12" t="s">
        <v>424</v>
      </c>
      <c r="C135" s="11" t="s">
        <v>418</v>
      </c>
      <c r="D135" s="11" t="s">
        <v>425</v>
      </c>
      <c r="E135" s="11" t="s">
        <v>892</v>
      </c>
      <c r="F135" s="11" t="s">
        <v>237</v>
      </c>
      <c r="G135" s="11" t="s">
        <v>75</v>
      </c>
      <c r="H135" s="11"/>
      <c r="I135" s="11" t="s">
        <v>893</v>
      </c>
      <c r="J135" s="11" t="s">
        <v>894</v>
      </c>
      <c r="K135" s="11"/>
      <c r="L135" s="11" t="s">
        <v>70</v>
      </c>
      <c r="M135" s="11" t="s">
        <v>71</v>
      </c>
      <c r="N135" s="11" t="s">
        <v>72</v>
      </c>
      <c r="O135" s="11" t="s">
        <v>19</v>
      </c>
      <c r="P135" s="13"/>
      <c r="Q135" s="13"/>
      <c r="R135" s="13"/>
      <c r="S135" s="13"/>
      <c r="T135" s="11" t="s">
        <v>19</v>
      </c>
      <c r="U135" s="13"/>
      <c r="V135" s="13"/>
      <c r="W135" s="13"/>
      <c r="X135" s="13"/>
      <c r="Y135" s="13"/>
      <c r="Z135" s="13"/>
      <c r="AA135" s="13"/>
    </row>
    <row r="136" spans="1:27" ht="45" x14ac:dyDescent="0.25">
      <c r="A136" s="11" t="s">
        <v>895</v>
      </c>
      <c r="B136" s="12" t="s">
        <v>424</v>
      </c>
      <c r="C136" s="11" t="s">
        <v>411</v>
      </c>
      <c r="D136" s="11" t="s">
        <v>425</v>
      </c>
      <c r="E136" s="11" t="s">
        <v>896</v>
      </c>
      <c r="F136" s="11" t="s">
        <v>237</v>
      </c>
      <c r="G136" s="11" t="s">
        <v>75</v>
      </c>
      <c r="H136" s="11"/>
      <c r="I136" s="11" t="s">
        <v>897</v>
      </c>
      <c r="J136" s="11" t="s">
        <v>898</v>
      </c>
      <c r="K136" s="11"/>
      <c r="L136" s="11" t="s">
        <v>70</v>
      </c>
      <c r="M136" s="11" t="s">
        <v>71</v>
      </c>
      <c r="N136" s="11" t="s">
        <v>72</v>
      </c>
      <c r="O136" s="11" t="s">
        <v>19</v>
      </c>
      <c r="P136" s="13"/>
      <c r="Q136" s="13"/>
      <c r="R136" s="13"/>
      <c r="S136" s="13"/>
      <c r="T136" s="11" t="s">
        <v>19</v>
      </c>
      <c r="U136" s="13"/>
      <c r="V136" s="13"/>
      <c r="W136" s="13"/>
      <c r="X136" s="13"/>
      <c r="Y136" s="13"/>
      <c r="Z136" s="13"/>
      <c r="AA136" s="13"/>
    </row>
    <row r="137" spans="1:27" ht="45" x14ac:dyDescent="0.25">
      <c r="A137" s="11" t="s">
        <v>899</v>
      </c>
      <c r="B137" s="12" t="s">
        <v>424</v>
      </c>
      <c r="C137" s="11" t="s">
        <v>411</v>
      </c>
      <c r="D137" s="11" t="s">
        <v>425</v>
      </c>
      <c r="E137" s="11" t="s">
        <v>900</v>
      </c>
      <c r="F137" s="11" t="s">
        <v>237</v>
      </c>
      <c r="G137" s="11" t="s">
        <v>75</v>
      </c>
      <c r="H137" s="11"/>
      <c r="I137" s="11" t="s">
        <v>901</v>
      </c>
      <c r="J137" s="11" t="s">
        <v>902</v>
      </c>
      <c r="K137" s="11"/>
      <c r="L137" s="11" t="s">
        <v>70</v>
      </c>
      <c r="M137" s="11" t="s">
        <v>71</v>
      </c>
      <c r="N137" s="11" t="s">
        <v>72</v>
      </c>
      <c r="O137" s="11" t="s">
        <v>19</v>
      </c>
      <c r="P137" s="13"/>
      <c r="Q137" s="13"/>
      <c r="R137" s="13"/>
      <c r="S137" s="13"/>
      <c r="T137" s="11" t="s">
        <v>19</v>
      </c>
      <c r="U137" s="13"/>
      <c r="V137" s="13"/>
      <c r="W137" s="13"/>
      <c r="X137" s="13"/>
      <c r="Y137" s="13"/>
      <c r="Z137" s="13"/>
      <c r="AA137" s="13"/>
    </row>
    <row r="138" spans="1:27" ht="45" x14ac:dyDescent="0.25">
      <c r="A138" s="11" t="s">
        <v>903</v>
      </c>
      <c r="B138" s="12" t="s">
        <v>424</v>
      </c>
      <c r="C138" s="11" t="s">
        <v>411</v>
      </c>
      <c r="D138" s="11" t="s">
        <v>425</v>
      </c>
      <c r="E138" s="11" t="s">
        <v>904</v>
      </c>
      <c r="F138" s="11" t="s">
        <v>237</v>
      </c>
      <c r="G138" s="11" t="s">
        <v>75</v>
      </c>
      <c r="H138" s="11"/>
      <c r="I138" s="11" t="s">
        <v>905</v>
      </c>
      <c r="J138" s="11" t="s">
        <v>906</v>
      </c>
      <c r="K138" s="11"/>
      <c r="L138" s="11" t="s">
        <v>70</v>
      </c>
      <c r="M138" s="11" t="s">
        <v>71</v>
      </c>
      <c r="N138" s="11" t="s">
        <v>72</v>
      </c>
      <c r="O138" s="11" t="s">
        <v>19</v>
      </c>
      <c r="P138" s="13"/>
      <c r="Q138" s="13"/>
      <c r="R138" s="13"/>
      <c r="S138" s="13"/>
      <c r="T138" s="11" t="s">
        <v>19</v>
      </c>
      <c r="U138" s="13"/>
      <c r="V138" s="13"/>
      <c r="W138" s="13"/>
      <c r="X138" s="13"/>
      <c r="Y138" s="13"/>
      <c r="Z138" s="13"/>
      <c r="AA138" s="13"/>
    </row>
    <row r="139" spans="1:27" ht="60" x14ac:dyDescent="0.25">
      <c r="A139" s="11" t="s">
        <v>907</v>
      </c>
      <c r="B139" s="12" t="s">
        <v>424</v>
      </c>
      <c r="C139" s="11" t="s">
        <v>411</v>
      </c>
      <c r="D139" s="11" t="s">
        <v>425</v>
      </c>
      <c r="E139" s="11" t="s">
        <v>908</v>
      </c>
      <c r="F139" s="11" t="s">
        <v>237</v>
      </c>
      <c r="G139" s="11" t="s">
        <v>75</v>
      </c>
      <c r="H139" s="11"/>
      <c r="I139" s="11" t="s">
        <v>909</v>
      </c>
      <c r="J139" s="11" t="s">
        <v>910</v>
      </c>
      <c r="K139" s="11"/>
      <c r="L139" s="11" t="s">
        <v>70</v>
      </c>
      <c r="M139" s="11" t="s">
        <v>71</v>
      </c>
      <c r="N139" s="11" t="s">
        <v>72</v>
      </c>
      <c r="O139" s="11" t="s">
        <v>19</v>
      </c>
      <c r="P139" s="13"/>
      <c r="Q139" s="13"/>
      <c r="R139" s="13"/>
      <c r="S139" s="13"/>
      <c r="T139" s="11" t="s">
        <v>19</v>
      </c>
      <c r="U139" s="13"/>
      <c r="V139" s="13"/>
      <c r="W139" s="13"/>
      <c r="X139" s="13"/>
      <c r="Y139" s="13"/>
      <c r="Z139" s="13"/>
      <c r="AA139" s="13"/>
    </row>
    <row r="140" spans="1:27" ht="45" x14ac:dyDescent="0.25">
      <c r="A140" s="11" t="s">
        <v>911</v>
      </c>
      <c r="B140" s="12" t="s">
        <v>424</v>
      </c>
      <c r="C140" s="11" t="s">
        <v>411</v>
      </c>
      <c r="D140" s="11" t="s">
        <v>425</v>
      </c>
      <c r="E140" s="11" t="s">
        <v>912</v>
      </c>
      <c r="F140" s="11" t="s">
        <v>237</v>
      </c>
      <c r="G140" s="11" t="s">
        <v>75</v>
      </c>
      <c r="H140" s="11"/>
      <c r="I140" s="11" t="s">
        <v>913</v>
      </c>
      <c r="J140" s="11" t="s">
        <v>914</v>
      </c>
      <c r="K140" s="11"/>
      <c r="L140" s="11" t="s">
        <v>70</v>
      </c>
      <c r="M140" s="11" t="s">
        <v>71</v>
      </c>
      <c r="N140" s="11" t="s">
        <v>72</v>
      </c>
      <c r="O140" s="11" t="s">
        <v>19</v>
      </c>
      <c r="P140" s="13"/>
      <c r="Q140" s="13"/>
      <c r="R140" s="13"/>
      <c r="S140" s="13"/>
      <c r="T140" s="11" t="s">
        <v>19</v>
      </c>
      <c r="U140" s="13"/>
      <c r="V140" s="13"/>
      <c r="W140" s="13"/>
      <c r="X140" s="13"/>
      <c r="Y140" s="13"/>
      <c r="Z140" s="13"/>
      <c r="AA140" s="13"/>
    </row>
    <row r="141" spans="1:27" ht="75" x14ac:dyDescent="0.25">
      <c r="A141" s="11" t="s">
        <v>915</v>
      </c>
      <c r="B141" s="12" t="s">
        <v>424</v>
      </c>
      <c r="C141" s="11" t="s">
        <v>411</v>
      </c>
      <c r="D141" s="11" t="s">
        <v>425</v>
      </c>
      <c r="E141" s="11" t="s">
        <v>916</v>
      </c>
      <c r="F141" s="11" t="s">
        <v>237</v>
      </c>
      <c r="G141" s="11" t="s">
        <v>75</v>
      </c>
      <c r="H141" s="11"/>
      <c r="I141" s="11" t="s">
        <v>917</v>
      </c>
      <c r="J141" s="11" t="s">
        <v>918</v>
      </c>
      <c r="K141" s="11"/>
      <c r="L141" s="11" t="s">
        <v>70</v>
      </c>
      <c r="M141" s="11" t="s">
        <v>71</v>
      </c>
      <c r="N141" s="11" t="s">
        <v>72</v>
      </c>
      <c r="O141" s="11" t="s">
        <v>19</v>
      </c>
      <c r="P141" s="13"/>
      <c r="Q141" s="13"/>
      <c r="R141" s="13"/>
      <c r="S141" s="13"/>
      <c r="T141" s="11" t="s">
        <v>19</v>
      </c>
      <c r="U141" s="13"/>
      <c r="V141" s="13"/>
      <c r="W141" s="13"/>
      <c r="X141" s="13"/>
      <c r="Y141" s="13"/>
      <c r="Z141" s="13"/>
      <c r="AA141" s="13"/>
    </row>
    <row r="142" spans="1:27" ht="30" x14ac:dyDescent="0.25">
      <c r="A142" s="11" t="s">
        <v>919</v>
      </c>
      <c r="B142" s="12" t="s">
        <v>424</v>
      </c>
      <c r="C142" s="11" t="s">
        <v>411</v>
      </c>
      <c r="D142" s="11" t="s">
        <v>425</v>
      </c>
      <c r="E142" s="11" t="s">
        <v>920</v>
      </c>
      <c r="F142" s="11" t="s">
        <v>237</v>
      </c>
      <c r="G142" s="11" t="s">
        <v>94</v>
      </c>
      <c r="H142" s="11"/>
      <c r="I142" s="11" t="s">
        <v>921</v>
      </c>
      <c r="J142" s="11" t="s">
        <v>922</v>
      </c>
      <c r="K142" s="11"/>
      <c r="L142" s="11" t="s">
        <v>70</v>
      </c>
      <c r="M142" s="11" t="s">
        <v>71</v>
      </c>
      <c r="N142" s="11" t="s">
        <v>72</v>
      </c>
      <c r="O142" s="11" t="s">
        <v>19</v>
      </c>
      <c r="P142" s="13"/>
      <c r="Q142" s="13"/>
      <c r="R142" s="13"/>
      <c r="S142" s="13"/>
      <c r="T142" s="11" t="s">
        <v>19</v>
      </c>
      <c r="U142" s="13"/>
      <c r="V142" s="13"/>
      <c r="W142" s="13"/>
      <c r="X142" s="13"/>
      <c r="Y142" s="13"/>
      <c r="Z142" s="13"/>
      <c r="AA142" s="13"/>
    </row>
    <row r="143" spans="1:27" ht="60" x14ac:dyDescent="0.25">
      <c r="A143" s="11" t="s">
        <v>923</v>
      </c>
      <c r="B143" s="12" t="s">
        <v>614</v>
      </c>
      <c r="C143" s="11" t="s">
        <v>386</v>
      </c>
      <c r="D143" s="11" t="s">
        <v>615</v>
      </c>
      <c r="E143" s="11" t="s">
        <v>924</v>
      </c>
      <c r="F143" s="11" t="s">
        <v>237</v>
      </c>
      <c r="G143" s="11" t="s">
        <v>67</v>
      </c>
      <c r="H143" s="11"/>
      <c r="I143" s="11" t="s">
        <v>925</v>
      </c>
      <c r="J143" s="11" t="s">
        <v>926</v>
      </c>
      <c r="K143" s="11"/>
      <c r="L143" s="11" t="s">
        <v>70</v>
      </c>
      <c r="M143" s="11" t="s">
        <v>71</v>
      </c>
      <c r="N143" s="11" t="s">
        <v>72</v>
      </c>
      <c r="O143" s="11" t="s">
        <v>19</v>
      </c>
      <c r="P143" s="13"/>
      <c r="Q143" s="13"/>
      <c r="R143" s="13"/>
      <c r="S143" s="13"/>
      <c r="T143" s="11" t="s">
        <v>19</v>
      </c>
      <c r="U143" s="13"/>
      <c r="V143" s="13"/>
      <c r="W143" s="13"/>
      <c r="X143" s="13"/>
      <c r="Y143" s="13"/>
      <c r="Z143" s="13"/>
      <c r="AA143" s="13"/>
    </row>
    <row r="144" spans="1:27" ht="45" x14ac:dyDescent="0.25">
      <c r="A144" s="11" t="s">
        <v>927</v>
      </c>
      <c r="B144" s="12" t="s">
        <v>614</v>
      </c>
      <c r="C144" s="11" t="s">
        <v>386</v>
      </c>
      <c r="D144" s="11" t="s">
        <v>615</v>
      </c>
      <c r="E144" s="11" t="s">
        <v>928</v>
      </c>
      <c r="F144" s="11" t="s">
        <v>237</v>
      </c>
      <c r="G144" s="11" t="s">
        <v>67</v>
      </c>
      <c r="H144" s="11"/>
      <c r="I144" s="11" t="s">
        <v>929</v>
      </c>
      <c r="J144" s="11" t="s">
        <v>930</v>
      </c>
      <c r="K144" s="11"/>
      <c r="L144" s="11" t="s">
        <v>70</v>
      </c>
      <c r="M144" s="11" t="s">
        <v>71</v>
      </c>
      <c r="N144" s="11" t="s">
        <v>72</v>
      </c>
      <c r="O144" s="11" t="s">
        <v>19</v>
      </c>
      <c r="P144" s="13"/>
      <c r="Q144" s="13"/>
      <c r="R144" s="13"/>
      <c r="S144" s="13"/>
      <c r="T144" s="11" t="s">
        <v>19</v>
      </c>
      <c r="U144" s="13"/>
      <c r="V144" s="13"/>
      <c r="W144" s="13"/>
      <c r="X144" s="13"/>
      <c r="Y144" s="13"/>
      <c r="Z144" s="13"/>
      <c r="AA144" s="13"/>
    </row>
    <row r="145" spans="1:27" ht="45" x14ac:dyDescent="0.25">
      <c r="A145" s="11" t="s">
        <v>931</v>
      </c>
      <c r="B145" s="12" t="s">
        <v>455</v>
      </c>
      <c r="C145" s="11" t="s">
        <v>411</v>
      </c>
      <c r="D145" s="11" t="s">
        <v>456</v>
      </c>
      <c r="E145" s="11" t="s">
        <v>932</v>
      </c>
      <c r="F145" s="11" t="s">
        <v>237</v>
      </c>
      <c r="G145" s="11" t="s">
        <v>67</v>
      </c>
      <c r="H145" s="11"/>
      <c r="I145" s="11" t="s">
        <v>933</v>
      </c>
      <c r="J145" s="11" t="s">
        <v>934</v>
      </c>
      <c r="K145" s="11"/>
      <c r="L145" s="11" t="s">
        <v>70</v>
      </c>
      <c r="M145" s="11" t="s">
        <v>71</v>
      </c>
      <c r="N145" s="11" t="s">
        <v>72</v>
      </c>
      <c r="O145" s="11" t="s">
        <v>19</v>
      </c>
      <c r="P145" s="13"/>
      <c r="Q145" s="13"/>
      <c r="R145" s="13"/>
      <c r="S145" s="13"/>
      <c r="T145" s="11" t="s">
        <v>19</v>
      </c>
      <c r="U145" s="13"/>
      <c r="V145" s="13"/>
      <c r="W145" s="13"/>
      <c r="X145" s="13"/>
      <c r="Y145" s="13"/>
      <c r="Z145" s="13"/>
      <c r="AA145" s="13"/>
    </row>
    <row r="146" spans="1:27" ht="45" x14ac:dyDescent="0.25">
      <c r="A146" s="11" t="s">
        <v>935</v>
      </c>
      <c r="B146" s="12" t="s">
        <v>455</v>
      </c>
      <c r="C146" s="11" t="s">
        <v>411</v>
      </c>
      <c r="D146" s="11" t="s">
        <v>456</v>
      </c>
      <c r="E146" s="11" t="s">
        <v>936</v>
      </c>
      <c r="F146" s="11" t="s">
        <v>237</v>
      </c>
      <c r="G146" s="11" t="s">
        <v>67</v>
      </c>
      <c r="H146" s="11"/>
      <c r="I146" s="11" t="s">
        <v>937</v>
      </c>
      <c r="J146" s="11" t="s">
        <v>938</v>
      </c>
      <c r="K146" s="11"/>
      <c r="L146" s="11" t="s">
        <v>70</v>
      </c>
      <c r="M146" s="11" t="s">
        <v>71</v>
      </c>
      <c r="N146" s="11" t="s">
        <v>72</v>
      </c>
      <c r="O146" s="11" t="s">
        <v>19</v>
      </c>
      <c r="P146" s="13"/>
      <c r="Q146" s="13"/>
      <c r="R146" s="13"/>
      <c r="S146" s="13"/>
      <c r="T146" s="11" t="s">
        <v>19</v>
      </c>
      <c r="U146" s="13"/>
      <c r="V146" s="13"/>
      <c r="W146" s="13"/>
      <c r="X146" s="13"/>
      <c r="Y146" s="13"/>
      <c r="Z146" s="13"/>
      <c r="AA146" s="13"/>
    </row>
    <row r="147" spans="1:27" ht="30" x14ac:dyDescent="0.25">
      <c r="A147" s="11" t="s">
        <v>939</v>
      </c>
      <c r="B147" s="12" t="s">
        <v>455</v>
      </c>
      <c r="C147" s="11" t="s">
        <v>411</v>
      </c>
      <c r="D147" s="11" t="s">
        <v>456</v>
      </c>
      <c r="E147" s="11" t="s">
        <v>940</v>
      </c>
      <c r="F147" s="11" t="s">
        <v>237</v>
      </c>
      <c r="G147" s="11" t="s">
        <v>67</v>
      </c>
      <c r="H147" s="11"/>
      <c r="I147" s="11" t="s">
        <v>941</v>
      </c>
      <c r="J147" s="11" t="s">
        <v>942</v>
      </c>
      <c r="K147" s="11"/>
      <c r="L147" s="11" t="s">
        <v>70</v>
      </c>
      <c r="M147" s="11" t="s">
        <v>71</v>
      </c>
      <c r="N147" s="11" t="s">
        <v>72</v>
      </c>
      <c r="O147" s="11" t="s">
        <v>19</v>
      </c>
      <c r="P147" s="13"/>
      <c r="Q147" s="13"/>
      <c r="R147" s="13"/>
      <c r="S147" s="13"/>
      <c r="T147" s="11" t="s">
        <v>19</v>
      </c>
      <c r="U147" s="13"/>
      <c r="V147" s="13"/>
      <c r="W147" s="13"/>
      <c r="X147" s="13"/>
      <c r="Y147" s="13"/>
      <c r="Z147" s="13"/>
      <c r="AA147" s="13"/>
    </row>
    <row r="148" spans="1:27" ht="45" x14ac:dyDescent="0.25">
      <c r="A148" s="11" t="s">
        <v>943</v>
      </c>
      <c r="B148" s="12" t="s">
        <v>455</v>
      </c>
      <c r="C148" s="11" t="s">
        <v>411</v>
      </c>
      <c r="D148" s="11" t="s">
        <v>456</v>
      </c>
      <c r="E148" s="11" t="s">
        <v>944</v>
      </c>
      <c r="F148" s="11" t="s">
        <v>237</v>
      </c>
      <c r="G148" s="11" t="s">
        <v>67</v>
      </c>
      <c r="H148" s="11"/>
      <c r="I148" s="11" t="s">
        <v>945</v>
      </c>
      <c r="J148" s="11" t="s">
        <v>946</v>
      </c>
      <c r="K148" s="11"/>
      <c r="L148" s="11" t="s">
        <v>70</v>
      </c>
      <c r="M148" s="11" t="s">
        <v>71</v>
      </c>
      <c r="N148" s="11" t="s">
        <v>72</v>
      </c>
      <c r="O148" s="11" t="s">
        <v>19</v>
      </c>
      <c r="P148" s="13"/>
      <c r="Q148" s="13"/>
      <c r="R148" s="13"/>
      <c r="S148" s="13"/>
      <c r="T148" s="11" t="s">
        <v>19</v>
      </c>
      <c r="U148" s="13"/>
      <c r="V148" s="13"/>
      <c r="W148" s="13"/>
      <c r="X148" s="13"/>
      <c r="Y148" s="13"/>
      <c r="Z148" s="13"/>
      <c r="AA148" s="13"/>
    </row>
    <row r="149" spans="1:27" ht="45" x14ac:dyDescent="0.25">
      <c r="A149" s="11" t="s">
        <v>947</v>
      </c>
      <c r="B149" s="12" t="s">
        <v>455</v>
      </c>
      <c r="C149" s="11" t="s">
        <v>411</v>
      </c>
      <c r="D149" s="11" t="s">
        <v>456</v>
      </c>
      <c r="E149" s="11" t="s">
        <v>948</v>
      </c>
      <c r="F149" s="11" t="s">
        <v>237</v>
      </c>
      <c r="G149" s="11" t="s">
        <v>75</v>
      </c>
      <c r="H149" s="11"/>
      <c r="I149" s="11" t="s">
        <v>949</v>
      </c>
      <c r="J149" s="11" t="s">
        <v>950</v>
      </c>
      <c r="K149" s="11"/>
      <c r="L149" s="11" t="s">
        <v>70</v>
      </c>
      <c r="M149" s="11" t="s">
        <v>71</v>
      </c>
      <c r="N149" s="11" t="s">
        <v>72</v>
      </c>
      <c r="O149" s="11" t="s">
        <v>19</v>
      </c>
      <c r="P149" s="13"/>
      <c r="Q149" s="13"/>
      <c r="R149" s="13"/>
      <c r="S149" s="13"/>
      <c r="T149" s="11" t="s">
        <v>19</v>
      </c>
      <c r="U149" s="13"/>
      <c r="V149" s="13"/>
      <c r="W149" s="13"/>
      <c r="X149" s="13"/>
      <c r="Y149" s="13"/>
      <c r="Z149" s="13"/>
      <c r="AA149" s="13"/>
    </row>
    <row r="150" spans="1:27" ht="60" x14ac:dyDescent="0.25">
      <c r="A150" s="11" t="s">
        <v>951</v>
      </c>
      <c r="B150" s="12" t="s">
        <v>455</v>
      </c>
      <c r="C150" s="11" t="s">
        <v>411</v>
      </c>
      <c r="D150" s="11" t="s">
        <v>456</v>
      </c>
      <c r="E150" s="11" t="s">
        <v>952</v>
      </c>
      <c r="F150" s="11" t="s">
        <v>237</v>
      </c>
      <c r="G150" s="11" t="s">
        <v>75</v>
      </c>
      <c r="H150" s="11"/>
      <c r="I150" s="11" t="s">
        <v>953</v>
      </c>
      <c r="J150" s="11" t="s">
        <v>954</v>
      </c>
      <c r="K150" s="11"/>
      <c r="L150" s="11" t="s">
        <v>70</v>
      </c>
      <c r="M150" s="11" t="s">
        <v>71</v>
      </c>
      <c r="N150" s="11" t="s">
        <v>72</v>
      </c>
      <c r="O150" s="11" t="s">
        <v>19</v>
      </c>
      <c r="P150" s="13"/>
      <c r="Q150" s="13"/>
      <c r="R150" s="13"/>
      <c r="S150" s="13"/>
      <c r="T150" s="11" t="s">
        <v>19</v>
      </c>
      <c r="U150" s="13"/>
      <c r="V150" s="13"/>
      <c r="W150" s="13"/>
      <c r="X150" s="13"/>
      <c r="Y150" s="13"/>
      <c r="Z150" s="13"/>
      <c r="AA150" s="13"/>
    </row>
    <row r="151" spans="1:27" ht="30" x14ac:dyDescent="0.25">
      <c r="A151" s="11" t="s">
        <v>955</v>
      </c>
      <c r="B151" s="12" t="s">
        <v>455</v>
      </c>
      <c r="C151" s="11" t="s">
        <v>411</v>
      </c>
      <c r="D151" s="11" t="s">
        <v>456</v>
      </c>
      <c r="E151" s="11" t="s">
        <v>956</v>
      </c>
      <c r="F151" s="11" t="s">
        <v>237</v>
      </c>
      <c r="G151" s="11" t="s">
        <v>75</v>
      </c>
      <c r="H151" s="11"/>
      <c r="I151" s="11" t="s">
        <v>957</v>
      </c>
      <c r="J151" s="11" t="s">
        <v>958</v>
      </c>
      <c r="K151" s="11"/>
      <c r="L151" s="11" t="s">
        <v>70</v>
      </c>
      <c r="M151" s="11" t="s">
        <v>71</v>
      </c>
      <c r="N151" s="11" t="s">
        <v>72</v>
      </c>
      <c r="O151" s="11" t="s">
        <v>19</v>
      </c>
      <c r="P151" s="13"/>
      <c r="Q151" s="13"/>
      <c r="R151" s="13"/>
      <c r="S151" s="13"/>
      <c r="T151" s="11" t="s">
        <v>19</v>
      </c>
      <c r="U151" s="13"/>
      <c r="V151" s="13"/>
      <c r="W151" s="13"/>
      <c r="X151" s="13"/>
      <c r="Y151" s="13"/>
      <c r="Z151" s="13"/>
      <c r="AA151" s="13"/>
    </row>
    <row r="152" spans="1:27" ht="60" x14ac:dyDescent="0.25">
      <c r="A152" s="11" t="s">
        <v>959</v>
      </c>
      <c r="B152" s="12" t="s">
        <v>455</v>
      </c>
      <c r="C152" s="11" t="s">
        <v>411</v>
      </c>
      <c r="D152" s="11" t="s">
        <v>456</v>
      </c>
      <c r="E152" s="11" t="s">
        <v>960</v>
      </c>
      <c r="F152" s="11" t="s">
        <v>237</v>
      </c>
      <c r="G152" s="11" t="s">
        <v>75</v>
      </c>
      <c r="H152" s="11"/>
      <c r="I152" s="11" t="s">
        <v>961</v>
      </c>
      <c r="J152" s="11" t="s">
        <v>962</v>
      </c>
      <c r="K152" s="11"/>
      <c r="L152" s="11" t="s">
        <v>70</v>
      </c>
      <c r="M152" s="11" t="s">
        <v>71</v>
      </c>
      <c r="N152" s="11" t="s">
        <v>72</v>
      </c>
      <c r="O152" s="11" t="s">
        <v>19</v>
      </c>
      <c r="P152" s="13"/>
      <c r="Q152" s="13"/>
      <c r="R152" s="13"/>
      <c r="S152" s="13"/>
      <c r="T152" s="11" t="s">
        <v>19</v>
      </c>
      <c r="U152" s="13"/>
      <c r="V152" s="13"/>
      <c r="W152" s="13"/>
      <c r="X152" s="13"/>
      <c r="Y152" s="13"/>
      <c r="Z152" s="13"/>
      <c r="AA152" s="13"/>
    </row>
    <row r="153" spans="1:27" ht="45" x14ac:dyDescent="0.25">
      <c r="A153" s="11" t="s">
        <v>963</v>
      </c>
      <c r="B153" s="12" t="s">
        <v>455</v>
      </c>
      <c r="C153" s="11" t="s">
        <v>411</v>
      </c>
      <c r="D153" s="11" t="s">
        <v>456</v>
      </c>
      <c r="E153" s="11" t="s">
        <v>964</v>
      </c>
      <c r="F153" s="11" t="s">
        <v>237</v>
      </c>
      <c r="G153" s="11" t="s">
        <v>75</v>
      </c>
      <c r="H153" s="11"/>
      <c r="I153" s="11" t="s">
        <v>965</v>
      </c>
      <c r="J153" s="11" t="s">
        <v>966</v>
      </c>
      <c r="K153" s="11"/>
      <c r="L153" s="11" t="s">
        <v>70</v>
      </c>
      <c r="M153" s="11" t="s">
        <v>71</v>
      </c>
      <c r="N153" s="11" t="s">
        <v>72</v>
      </c>
      <c r="O153" s="11" t="s">
        <v>19</v>
      </c>
      <c r="P153" s="13"/>
      <c r="Q153" s="13"/>
      <c r="R153" s="13"/>
      <c r="S153" s="13"/>
      <c r="T153" s="11" t="s">
        <v>19</v>
      </c>
      <c r="U153" s="13"/>
      <c r="V153" s="13"/>
      <c r="W153" s="13"/>
      <c r="X153" s="13"/>
      <c r="Y153" s="13"/>
      <c r="Z153" s="13"/>
      <c r="AA153" s="13"/>
    </row>
    <row r="154" spans="1:27" ht="45" x14ac:dyDescent="0.25">
      <c r="A154" s="11" t="s">
        <v>967</v>
      </c>
      <c r="B154" s="12" t="s">
        <v>455</v>
      </c>
      <c r="C154" s="11" t="s">
        <v>411</v>
      </c>
      <c r="D154" s="11" t="s">
        <v>456</v>
      </c>
      <c r="E154" s="11" t="s">
        <v>968</v>
      </c>
      <c r="F154" s="11" t="s">
        <v>237</v>
      </c>
      <c r="G154" s="11" t="s">
        <v>75</v>
      </c>
      <c r="H154" s="11"/>
      <c r="I154" s="11" t="s">
        <v>969</v>
      </c>
      <c r="J154" s="11" t="s">
        <v>970</v>
      </c>
      <c r="K154" s="11"/>
      <c r="L154" s="11" t="s">
        <v>70</v>
      </c>
      <c r="M154" s="11" t="s">
        <v>71</v>
      </c>
      <c r="N154" s="11" t="s">
        <v>72</v>
      </c>
      <c r="O154" s="11" t="s">
        <v>19</v>
      </c>
      <c r="P154" s="13"/>
      <c r="Q154" s="13"/>
      <c r="R154" s="13"/>
      <c r="S154" s="13"/>
      <c r="T154" s="11" t="s">
        <v>19</v>
      </c>
      <c r="U154" s="13"/>
      <c r="V154" s="13"/>
      <c r="W154" s="13"/>
      <c r="X154" s="13"/>
      <c r="Y154" s="13"/>
      <c r="Z154" s="13"/>
      <c r="AA154" s="13"/>
    </row>
    <row r="155" spans="1:27" ht="45" x14ac:dyDescent="0.25">
      <c r="A155" s="11" t="s">
        <v>971</v>
      </c>
      <c r="B155" s="12" t="s">
        <v>455</v>
      </c>
      <c r="C155" s="11" t="s">
        <v>411</v>
      </c>
      <c r="D155" s="11" t="s">
        <v>456</v>
      </c>
      <c r="E155" s="11" t="s">
        <v>972</v>
      </c>
      <c r="F155" s="11" t="s">
        <v>237</v>
      </c>
      <c r="G155" s="11" t="s">
        <v>75</v>
      </c>
      <c r="H155" s="11"/>
      <c r="I155" s="11" t="s">
        <v>973</v>
      </c>
      <c r="J155" s="11" t="s">
        <v>974</v>
      </c>
      <c r="K155" s="11"/>
      <c r="L155" s="11" t="s">
        <v>70</v>
      </c>
      <c r="M155" s="11" t="s">
        <v>71</v>
      </c>
      <c r="N155" s="11" t="s">
        <v>72</v>
      </c>
      <c r="O155" s="11" t="s">
        <v>19</v>
      </c>
      <c r="P155" s="13"/>
      <c r="Q155" s="13"/>
      <c r="R155" s="13"/>
      <c r="S155" s="13"/>
      <c r="T155" s="11" t="s">
        <v>19</v>
      </c>
      <c r="U155" s="13"/>
      <c r="V155" s="13"/>
      <c r="W155" s="13"/>
      <c r="X155" s="13"/>
      <c r="Y155" s="13"/>
      <c r="Z155" s="13"/>
      <c r="AA155" s="13"/>
    </row>
    <row r="156" spans="1:27" ht="30" x14ac:dyDescent="0.25">
      <c r="A156" s="11" t="s">
        <v>975</v>
      </c>
      <c r="B156" s="12" t="s">
        <v>455</v>
      </c>
      <c r="C156" s="11" t="s">
        <v>411</v>
      </c>
      <c r="D156" s="11" t="s">
        <v>456</v>
      </c>
      <c r="E156" s="11" t="s">
        <v>976</v>
      </c>
      <c r="F156" s="11" t="s">
        <v>237</v>
      </c>
      <c r="G156" s="11" t="s">
        <v>94</v>
      </c>
      <c r="H156" s="11"/>
      <c r="I156" s="11" t="s">
        <v>977</v>
      </c>
      <c r="J156" s="11" t="s">
        <v>978</v>
      </c>
      <c r="K156" s="11"/>
      <c r="L156" s="11" t="s">
        <v>70</v>
      </c>
      <c r="M156" s="11" t="s">
        <v>71</v>
      </c>
      <c r="N156" s="11" t="s">
        <v>72</v>
      </c>
      <c r="O156" s="11" t="s">
        <v>19</v>
      </c>
      <c r="P156" s="13"/>
      <c r="Q156" s="13"/>
      <c r="R156" s="13"/>
      <c r="S156" s="13"/>
      <c r="T156" s="11" t="s">
        <v>19</v>
      </c>
      <c r="U156" s="13"/>
      <c r="V156" s="13"/>
      <c r="W156" s="13"/>
      <c r="X156" s="13"/>
      <c r="Y156" s="13"/>
      <c r="Z156" s="13"/>
      <c r="AA156" s="13"/>
    </row>
    <row r="157" spans="1:27" ht="45" x14ac:dyDescent="0.25">
      <c r="A157" s="11" t="s">
        <v>979</v>
      </c>
      <c r="B157" s="12" t="s">
        <v>455</v>
      </c>
      <c r="C157" s="11" t="s">
        <v>411</v>
      </c>
      <c r="D157" s="11" t="s">
        <v>456</v>
      </c>
      <c r="E157" s="11" t="s">
        <v>980</v>
      </c>
      <c r="F157" s="11" t="s">
        <v>237</v>
      </c>
      <c r="G157" s="11" t="s">
        <v>94</v>
      </c>
      <c r="H157" s="11"/>
      <c r="I157" s="11" t="s">
        <v>981</v>
      </c>
      <c r="J157" s="11" t="s">
        <v>982</v>
      </c>
      <c r="K157" s="11"/>
      <c r="L157" s="11" t="s">
        <v>70</v>
      </c>
      <c r="M157" s="11" t="s">
        <v>71</v>
      </c>
      <c r="N157" s="11" t="s">
        <v>72</v>
      </c>
      <c r="O157" s="11" t="s">
        <v>19</v>
      </c>
      <c r="P157" s="13"/>
      <c r="Q157" s="13"/>
      <c r="R157" s="13"/>
      <c r="S157" s="13"/>
      <c r="T157" s="11" t="s">
        <v>19</v>
      </c>
      <c r="U157" s="13"/>
      <c r="V157" s="13"/>
      <c r="W157" s="13"/>
      <c r="X157" s="13"/>
      <c r="Y157" s="13"/>
      <c r="Z157" s="13"/>
      <c r="AA157" s="13"/>
    </row>
    <row r="158" spans="1:27" ht="30" x14ac:dyDescent="0.25">
      <c r="A158" s="11" t="s">
        <v>983</v>
      </c>
      <c r="B158" s="12" t="s">
        <v>455</v>
      </c>
      <c r="C158" s="11" t="s">
        <v>411</v>
      </c>
      <c r="D158" s="11" t="s">
        <v>456</v>
      </c>
      <c r="E158" s="11" t="s">
        <v>984</v>
      </c>
      <c r="F158" s="11" t="s">
        <v>237</v>
      </c>
      <c r="G158" s="11" t="s">
        <v>94</v>
      </c>
      <c r="H158" s="11"/>
      <c r="I158" s="11" t="s">
        <v>985</v>
      </c>
      <c r="J158" s="11" t="s">
        <v>986</v>
      </c>
      <c r="K158" s="11"/>
      <c r="L158" s="11" t="s">
        <v>70</v>
      </c>
      <c r="M158" s="11" t="s">
        <v>71</v>
      </c>
      <c r="N158" s="11" t="s">
        <v>72</v>
      </c>
      <c r="O158" s="11" t="s">
        <v>19</v>
      </c>
      <c r="P158" s="13"/>
      <c r="Q158" s="13"/>
      <c r="R158" s="13"/>
      <c r="S158" s="13"/>
      <c r="T158" s="11" t="s">
        <v>19</v>
      </c>
      <c r="U158" s="13"/>
      <c r="V158" s="13"/>
      <c r="W158" s="13"/>
      <c r="X158" s="13"/>
      <c r="Y158" s="13"/>
      <c r="Z158" s="13"/>
      <c r="AA158" s="13"/>
    </row>
    <row r="159" spans="1:27" ht="30" x14ac:dyDescent="0.25">
      <c r="A159" s="11" t="s">
        <v>987</v>
      </c>
      <c r="B159" s="12" t="s">
        <v>455</v>
      </c>
      <c r="C159" s="11" t="s">
        <v>411</v>
      </c>
      <c r="D159" s="11" t="s">
        <v>456</v>
      </c>
      <c r="E159" s="11" t="s">
        <v>988</v>
      </c>
      <c r="F159" s="11" t="s">
        <v>237</v>
      </c>
      <c r="G159" s="11" t="s">
        <v>94</v>
      </c>
      <c r="H159" s="11"/>
      <c r="I159" s="11" t="s">
        <v>989</v>
      </c>
      <c r="J159" s="11" t="s">
        <v>990</v>
      </c>
      <c r="K159" s="11"/>
      <c r="L159" s="11" t="s">
        <v>70</v>
      </c>
      <c r="M159" s="11" t="s">
        <v>71</v>
      </c>
      <c r="N159" s="11" t="s">
        <v>72</v>
      </c>
      <c r="O159" s="11" t="s">
        <v>19</v>
      </c>
      <c r="P159" s="13"/>
      <c r="Q159" s="13"/>
      <c r="R159" s="13"/>
      <c r="S159" s="13"/>
      <c r="T159" s="11" t="s">
        <v>19</v>
      </c>
      <c r="U159" s="13"/>
      <c r="V159" s="13"/>
      <c r="W159" s="13"/>
      <c r="X159" s="13"/>
      <c r="Y159" s="13"/>
      <c r="Z159" s="13"/>
      <c r="AA159" s="13"/>
    </row>
    <row r="160" spans="1:27" ht="45" x14ac:dyDescent="0.25">
      <c r="A160" s="11" t="s">
        <v>991</v>
      </c>
      <c r="B160" s="12" t="s">
        <v>656</v>
      </c>
      <c r="C160" s="11" t="s">
        <v>657</v>
      </c>
      <c r="D160" s="11" t="s">
        <v>658</v>
      </c>
      <c r="E160" s="11" t="s">
        <v>992</v>
      </c>
      <c r="F160" s="11" t="s">
        <v>237</v>
      </c>
      <c r="G160" s="11" t="s">
        <v>67</v>
      </c>
      <c r="H160" s="11"/>
      <c r="I160" s="11" t="s">
        <v>993</v>
      </c>
      <c r="J160" s="11" t="s">
        <v>994</v>
      </c>
      <c r="K160" s="11"/>
      <c r="L160" s="11" t="s">
        <v>70</v>
      </c>
      <c r="M160" s="11" t="s">
        <v>71</v>
      </c>
      <c r="N160" s="11" t="s">
        <v>72</v>
      </c>
      <c r="O160" s="11" t="s">
        <v>19</v>
      </c>
      <c r="P160" s="13"/>
      <c r="Q160" s="13"/>
      <c r="R160" s="13"/>
      <c r="S160" s="13"/>
      <c r="T160" s="11" t="s">
        <v>19</v>
      </c>
      <c r="U160" s="13"/>
      <c r="V160" s="13"/>
      <c r="W160" s="13"/>
      <c r="X160" s="13"/>
      <c r="Y160" s="13"/>
      <c r="Z160" s="13"/>
      <c r="AA160" s="13"/>
    </row>
    <row r="161" spans="1:27" ht="30" x14ac:dyDescent="0.25">
      <c r="A161" s="11" t="s">
        <v>995</v>
      </c>
      <c r="B161" s="12" t="s">
        <v>656</v>
      </c>
      <c r="C161" s="11" t="s">
        <v>657</v>
      </c>
      <c r="D161" s="11" t="s">
        <v>658</v>
      </c>
      <c r="E161" s="11" t="s">
        <v>996</v>
      </c>
      <c r="F161" s="11" t="s">
        <v>666</v>
      </c>
      <c r="G161" s="11" t="s">
        <v>75</v>
      </c>
      <c r="H161" s="11"/>
      <c r="I161" s="11" t="s">
        <v>660</v>
      </c>
      <c r="J161" s="11" t="s">
        <v>997</v>
      </c>
      <c r="K161" s="11"/>
      <c r="L161" s="11" t="s">
        <v>70</v>
      </c>
      <c r="M161" s="11" t="s">
        <v>71</v>
      </c>
      <c r="N161" s="11" t="s">
        <v>72</v>
      </c>
      <c r="O161" s="11" t="s">
        <v>19</v>
      </c>
      <c r="P161" s="13"/>
      <c r="Q161" s="13"/>
      <c r="R161" s="13"/>
      <c r="S161" s="13"/>
      <c r="T161" s="11" t="s">
        <v>19</v>
      </c>
      <c r="U161" s="13"/>
      <c r="V161" s="13"/>
      <c r="W161" s="13"/>
      <c r="X161" s="13"/>
      <c r="Y161" s="13"/>
      <c r="Z161" s="13"/>
      <c r="AA161" s="13"/>
    </row>
    <row r="162" spans="1:27" ht="30" x14ac:dyDescent="0.25">
      <c r="A162" s="11" t="s">
        <v>998</v>
      </c>
      <c r="B162" s="12" t="s">
        <v>656</v>
      </c>
      <c r="C162" s="11" t="s">
        <v>999</v>
      </c>
      <c r="D162" s="11" t="s">
        <v>1000</v>
      </c>
      <c r="E162" s="11" t="s">
        <v>1001</v>
      </c>
      <c r="F162" s="11" t="s">
        <v>237</v>
      </c>
      <c r="G162" s="11" t="s">
        <v>67</v>
      </c>
      <c r="H162" s="11"/>
      <c r="I162" s="11" t="s">
        <v>1002</v>
      </c>
      <c r="J162" s="11" t="s">
        <v>1003</v>
      </c>
      <c r="K162" s="11"/>
      <c r="L162" s="11" t="s">
        <v>70</v>
      </c>
      <c r="M162" s="11" t="s">
        <v>71</v>
      </c>
      <c r="N162" s="11" t="s">
        <v>72</v>
      </c>
      <c r="O162" s="11" t="s">
        <v>19</v>
      </c>
      <c r="P162" s="13"/>
      <c r="Q162" s="13"/>
      <c r="R162" s="13"/>
      <c r="S162" s="13"/>
      <c r="T162" s="11" t="s">
        <v>19</v>
      </c>
      <c r="U162" s="13"/>
      <c r="V162" s="13"/>
      <c r="W162" s="13"/>
      <c r="X162" s="13"/>
      <c r="Y162" s="13"/>
      <c r="Z162" s="13"/>
      <c r="AA162" s="13"/>
    </row>
    <row r="163" spans="1:27" ht="30" x14ac:dyDescent="0.25">
      <c r="A163" s="11" t="s">
        <v>1004</v>
      </c>
      <c r="B163" s="12" t="s">
        <v>656</v>
      </c>
      <c r="C163" s="11" t="s">
        <v>999</v>
      </c>
      <c r="D163" s="11" t="s">
        <v>1000</v>
      </c>
      <c r="E163" s="11" t="s">
        <v>1005</v>
      </c>
      <c r="F163" s="11" t="s">
        <v>237</v>
      </c>
      <c r="G163" s="11" t="s">
        <v>67</v>
      </c>
      <c r="H163" s="11"/>
      <c r="I163" s="11" t="s">
        <v>1006</v>
      </c>
      <c r="J163" s="11" t="s">
        <v>1007</v>
      </c>
      <c r="K163" s="11"/>
      <c r="L163" s="11" t="s">
        <v>70</v>
      </c>
      <c r="M163" s="11" t="s">
        <v>71</v>
      </c>
      <c r="N163" s="11" t="s">
        <v>72</v>
      </c>
      <c r="O163" s="11" t="s">
        <v>19</v>
      </c>
      <c r="P163" s="13"/>
      <c r="Q163" s="13"/>
      <c r="R163" s="13"/>
      <c r="S163" s="13"/>
      <c r="T163" s="11" t="s">
        <v>19</v>
      </c>
      <c r="U163" s="13"/>
      <c r="V163" s="13"/>
      <c r="W163" s="13"/>
      <c r="X163" s="13"/>
      <c r="Y163" s="13"/>
      <c r="Z163" s="13"/>
      <c r="AA163" s="13"/>
    </row>
    <row r="164" spans="1:27" ht="30" x14ac:dyDescent="0.25">
      <c r="A164" s="11" t="s">
        <v>1008</v>
      </c>
      <c r="B164" s="12" t="s">
        <v>656</v>
      </c>
      <c r="C164" s="11" t="s">
        <v>663</v>
      </c>
      <c r="D164" s="11" t="s">
        <v>664</v>
      </c>
      <c r="E164" s="11" t="s">
        <v>1009</v>
      </c>
      <c r="F164" s="11" t="s">
        <v>237</v>
      </c>
      <c r="G164" s="11" t="s">
        <v>75</v>
      </c>
      <c r="H164" s="11"/>
      <c r="I164" s="11" t="s">
        <v>1010</v>
      </c>
      <c r="J164" s="11" t="s">
        <v>1011</v>
      </c>
      <c r="K164" s="11"/>
      <c r="L164" s="11" t="s">
        <v>70</v>
      </c>
      <c r="M164" s="11" t="s">
        <v>71</v>
      </c>
      <c r="N164" s="11" t="s">
        <v>72</v>
      </c>
      <c r="O164" s="11" t="s">
        <v>19</v>
      </c>
      <c r="P164" s="13"/>
      <c r="Q164" s="13"/>
      <c r="R164" s="13"/>
      <c r="S164" s="13"/>
      <c r="T164" s="11" t="s">
        <v>19</v>
      </c>
      <c r="U164" s="13"/>
      <c r="V164" s="13"/>
      <c r="W164" s="13"/>
      <c r="X164" s="13"/>
      <c r="Y164" s="13"/>
      <c r="Z164" s="13"/>
      <c r="AA164" s="13"/>
    </row>
    <row r="165" spans="1:27" ht="45" x14ac:dyDescent="0.25">
      <c r="A165" s="11" t="s">
        <v>1012</v>
      </c>
      <c r="B165" s="12" t="s">
        <v>656</v>
      </c>
      <c r="C165" s="11" t="s">
        <v>663</v>
      </c>
      <c r="D165" s="11" t="s">
        <v>664</v>
      </c>
      <c r="E165" s="11" t="s">
        <v>1013</v>
      </c>
      <c r="F165" s="11" t="s">
        <v>237</v>
      </c>
      <c r="G165" s="11" t="s">
        <v>75</v>
      </c>
      <c r="H165" s="11"/>
      <c r="I165" s="11" t="s">
        <v>1014</v>
      </c>
      <c r="J165" s="11" t="s">
        <v>1015</v>
      </c>
      <c r="K165" s="11"/>
      <c r="L165" s="11" t="s">
        <v>70</v>
      </c>
      <c r="M165" s="11" t="s">
        <v>71</v>
      </c>
      <c r="N165" s="11" t="s">
        <v>72</v>
      </c>
      <c r="O165" s="11" t="s">
        <v>19</v>
      </c>
      <c r="P165" s="13"/>
      <c r="Q165" s="13"/>
      <c r="R165" s="13"/>
      <c r="S165" s="13"/>
      <c r="T165" s="11" t="s">
        <v>19</v>
      </c>
      <c r="U165" s="13"/>
      <c r="V165" s="13"/>
      <c r="W165" s="13"/>
      <c r="X165" s="13"/>
      <c r="Y165" s="13"/>
      <c r="Z165" s="13"/>
      <c r="AA165" s="13"/>
    </row>
    <row r="166" spans="1:27" ht="45" x14ac:dyDescent="0.25">
      <c r="A166" s="11" t="s">
        <v>1016</v>
      </c>
      <c r="B166" s="12" t="s">
        <v>656</v>
      </c>
      <c r="C166" s="11" t="s">
        <v>670</v>
      </c>
      <c r="D166" s="11" t="s">
        <v>671</v>
      </c>
      <c r="E166" s="11" t="s">
        <v>1017</v>
      </c>
      <c r="F166" s="11" t="s">
        <v>237</v>
      </c>
      <c r="G166" s="11" t="s">
        <v>75</v>
      </c>
      <c r="H166" s="11"/>
      <c r="I166" s="11" t="s">
        <v>1018</v>
      </c>
      <c r="J166" s="11" t="s">
        <v>1019</v>
      </c>
      <c r="K166" s="11"/>
      <c r="L166" s="11" t="s">
        <v>70</v>
      </c>
      <c r="M166" s="11" t="s">
        <v>71</v>
      </c>
      <c r="N166" s="11" t="s">
        <v>72</v>
      </c>
      <c r="O166" s="11" t="s">
        <v>19</v>
      </c>
      <c r="P166" s="13"/>
      <c r="Q166" s="13"/>
      <c r="R166" s="13"/>
      <c r="S166" s="13"/>
      <c r="T166" s="11" t="s">
        <v>19</v>
      </c>
      <c r="U166" s="13"/>
      <c r="V166" s="13"/>
      <c r="W166" s="13"/>
      <c r="X166" s="13"/>
      <c r="Y166" s="13"/>
      <c r="Z166" s="13"/>
      <c r="AA166" s="13"/>
    </row>
    <row r="167" spans="1:27" ht="45" x14ac:dyDescent="0.25">
      <c r="A167" s="11" t="s">
        <v>1020</v>
      </c>
      <c r="B167" s="12" t="s">
        <v>680</v>
      </c>
      <c r="C167" s="11" t="s">
        <v>681</v>
      </c>
      <c r="D167" s="11" t="s">
        <v>682</v>
      </c>
      <c r="E167" s="11" t="s">
        <v>1021</v>
      </c>
      <c r="F167" s="11" t="s">
        <v>237</v>
      </c>
      <c r="G167" s="11" t="s">
        <v>67</v>
      </c>
      <c r="H167" s="11"/>
      <c r="I167" s="11" t="s">
        <v>1022</v>
      </c>
      <c r="J167" s="11" t="s">
        <v>1023</v>
      </c>
      <c r="K167" s="11"/>
      <c r="L167" s="11" t="s">
        <v>70</v>
      </c>
      <c r="M167" s="11" t="s">
        <v>71</v>
      </c>
      <c r="N167" s="11" t="s">
        <v>72</v>
      </c>
      <c r="O167" s="11" t="s">
        <v>19</v>
      </c>
      <c r="P167" s="13"/>
      <c r="Q167" s="13"/>
      <c r="R167" s="13"/>
      <c r="S167" s="13"/>
      <c r="T167" s="11" t="s">
        <v>19</v>
      </c>
      <c r="U167" s="13"/>
      <c r="V167" s="13"/>
      <c r="W167" s="13"/>
      <c r="X167" s="13"/>
      <c r="Y167" s="13"/>
      <c r="Z167" s="13"/>
      <c r="AA167" s="13"/>
    </row>
    <row r="168" spans="1:27" ht="45" x14ac:dyDescent="0.25">
      <c r="A168" s="11" t="s">
        <v>1024</v>
      </c>
      <c r="B168" s="12" t="s">
        <v>315</v>
      </c>
      <c r="C168" s="11" t="s">
        <v>327</v>
      </c>
      <c r="D168" s="11" t="s">
        <v>695</v>
      </c>
      <c r="E168" s="11" t="s">
        <v>1025</v>
      </c>
      <c r="F168" s="11" t="s">
        <v>237</v>
      </c>
      <c r="G168" s="11" t="s">
        <v>67</v>
      </c>
      <c r="H168" s="11"/>
      <c r="I168" s="11" t="s">
        <v>1026</v>
      </c>
      <c r="J168" s="11" t="s">
        <v>1027</v>
      </c>
      <c r="K168" s="11"/>
      <c r="L168" s="11" t="s">
        <v>70</v>
      </c>
      <c r="M168" s="11" t="s">
        <v>71</v>
      </c>
      <c r="N168" s="11" t="s">
        <v>72</v>
      </c>
      <c r="O168" s="11" t="s">
        <v>19</v>
      </c>
      <c r="P168" s="13"/>
      <c r="Q168" s="13"/>
      <c r="R168" s="13"/>
      <c r="S168" s="13"/>
      <c r="T168" s="11" t="s">
        <v>19</v>
      </c>
      <c r="U168" s="13"/>
      <c r="V168" s="13"/>
      <c r="W168" s="13"/>
      <c r="X168" s="13"/>
      <c r="Y168" s="13"/>
      <c r="Z168" s="13"/>
      <c r="AA168" s="13"/>
    </row>
    <row r="169" spans="1:27" ht="30" x14ac:dyDescent="0.25">
      <c r="A169" s="11" t="s">
        <v>1028</v>
      </c>
      <c r="B169" s="12" t="s">
        <v>315</v>
      </c>
      <c r="C169" s="11" t="s">
        <v>327</v>
      </c>
      <c r="D169" s="11" t="s">
        <v>695</v>
      </c>
      <c r="E169" s="11" t="s">
        <v>1029</v>
      </c>
      <c r="F169" s="11" t="s">
        <v>237</v>
      </c>
      <c r="G169" s="11" t="s">
        <v>75</v>
      </c>
      <c r="H169" s="11"/>
      <c r="I169" s="11" t="s">
        <v>1030</v>
      </c>
      <c r="J169" s="11" t="s">
        <v>1031</v>
      </c>
      <c r="K169" s="11"/>
      <c r="L169" s="11" t="s">
        <v>70</v>
      </c>
      <c r="M169" s="11" t="s">
        <v>71</v>
      </c>
      <c r="N169" s="11" t="s">
        <v>72</v>
      </c>
      <c r="O169" s="11" t="s">
        <v>19</v>
      </c>
      <c r="P169" s="13"/>
      <c r="Q169" s="13"/>
      <c r="R169" s="13"/>
      <c r="S169" s="13"/>
      <c r="T169" s="11" t="s">
        <v>19</v>
      </c>
      <c r="U169" s="13"/>
      <c r="V169" s="13"/>
      <c r="W169" s="13"/>
      <c r="X169" s="13"/>
      <c r="Y169" s="13"/>
      <c r="Z169" s="13"/>
      <c r="AA169" s="13"/>
    </row>
    <row r="170" spans="1:27" ht="30" x14ac:dyDescent="0.25">
      <c r="A170" s="11" t="s">
        <v>1032</v>
      </c>
      <c r="B170" s="12" t="s">
        <v>315</v>
      </c>
      <c r="C170" s="11" t="s">
        <v>327</v>
      </c>
      <c r="D170" s="11" t="s">
        <v>695</v>
      </c>
      <c r="E170" s="11" t="s">
        <v>1033</v>
      </c>
      <c r="F170" s="11" t="s">
        <v>237</v>
      </c>
      <c r="G170" s="11" t="s">
        <v>75</v>
      </c>
      <c r="H170" s="11"/>
      <c r="I170" s="11" t="s">
        <v>1034</v>
      </c>
      <c r="J170" s="11" t="s">
        <v>1035</v>
      </c>
      <c r="K170" s="11"/>
      <c r="L170" s="11" t="s">
        <v>70</v>
      </c>
      <c r="M170" s="11" t="s">
        <v>71</v>
      </c>
      <c r="N170" s="11" t="s">
        <v>72</v>
      </c>
      <c r="O170" s="11" t="s">
        <v>19</v>
      </c>
      <c r="P170" s="13"/>
      <c r="Q170" s="13"/>
      <c r="R170" s="13"/>
      <c r="S170" s="13"/>
      <c r="T170" s="11" t="s">
        <v>19</v>
      </c>
      <c r="U170" s="13"/>
      <c r="V170" s="13"/>
      <c r="W170" s="13"/>
      <c r="X170" s="13"/>
      <c r="Y170" s="13"/>
      <c r="Z170" s="13"/>
      <c r="AA170" s="13"/>
    </row>
    <row r="171" spans="1:27" ht="30" x14ac:dyDescent="0.25">
      <c r="A171" s="11" t="s">
        <v>1036</v>
      </c>
      <c r="B171" s="12" t="s">
        <v>315</v>
      </c>
      <c r="C171" s="11" t="s">
        <v>327</v>
      </c>
      <c r="D171" s="11" t="s">
        <v>695</v>
      </c>
      <c r="E171" s="11" t="s">
        <v>1037</v>
      </c>
      <c r="F171" s="11" t="s">
        <v>237</v>
      </c>
      <c r="G171" s="11" t="s">
        <v>75</v>
      </c>
      <c r="H171" s="11"/>
      <c r="I171" s="11" t="s">
        <v>1038</v>
      </c>
      <c r="J171" s="11" t="s">
        <v>1039</v>
      </c>
      <c r="K171" s="11"/>
      <c r="L171" s="11" t="s">
        <v>70</v>
      </c>
      <c r="M171" s="11" t="s">
        <v>71</v>
      </c>
      <c r="N171" s="11" t="s">
        <v>72</v>
      </c>
      <c r="O171" s="11" t="s">
        <v>19</v>
      </c>
      <c r="P171" s="13"/>
      <c r="Q171" s="13"/>
      <c r="R171" s="13"/>
      <c r="S171" s="13"/>
      <c r="T171" s="11" t="s">
        <v>19</v>
      </c>
      <c r="U171" s="13"/>
      <c r="V171" s="13"/>
      <c r="W171" s="13"/>
      <c r="X171" s="13"/>
      <c r="Y171" s="13"/>
      <c r="Z171" s="13"/>
      <c r="AA171" s="13"/>
    </row>
    <row r="172" spans="1:27" ht="30" x14ac:dyDescent="0.25">
      <c r="A172" s="11" t="s">
        <v>1040</v>
      </c>
      <c r="B172" s="12" t="s">
        <v>315</v>
      </c>
      <c r="C172" s="11" t="s">
        <v>327</v>
      </c>
      <c r="D172" s="11" t="s">
        <v>695</v>
      </c>
      <c r="E172" s="11" t="s">
        <v>1041</v>
      </c>
      <c r="F172" s="11" t="s">
        <v>237</v>
      </c>
      <c r="G172" s="11" t="s">
        <v>75</v>
      </c>
      <c r="H172" s="11"/>
      <c r="I172" s="11" t="s">
        <v>1042</v>
      </c>
      <c r="J172" s="11" t="s">
        <v>1043</v>
      </c>
      <c r="K172" s="11"/>
      <c r="L172" s="11" t="s">
        <v>70</v>
      </c>
      <c r="M172" s="11" t="s">
        <v>71</v>
      </c>
      <c r="N172" s="11" t="s">
        <v>72</v>
      </c>
      <c r="O172" s="11" t="s">
        <v>19</v>
      </c>
      <c r="P172" s="13"/>
      <c r="Q172" s="13"/>
      <c r="R172" s="13"/>
      <c r="S172" s="13"/>
      <c r="T172" s="11" t="s">
        <v>19</v>
      </c>
      <c r="U172" s="13"/>
      <c r="V172" s="13"/>
      <c r="W172" s="13"/>
      <c r="X172" s="13"/>
      <c r="Y172" s="13"/>
      <c r="Z172" s="13"/>
      <c r="AA172" s="13"/>
    </row>
    <row r="173" spans="1:27" ht="30" x14ac:dyDescent="0.25">
      <c r="A173" s="11" t="s">
        <v>1044</v>
      </c>
      <c r="B173" s="12" t="s">
        <v>315</v>
      </c>
      <c r="C173" s="11" t="s">
        <v>327</v>
      </c>
      <c r="D173" s="11" t="s">
        <v>695</v>
      </c>
      <c r="E173" s="11" t="s">
        <v>1045</v>
      </c>
      <c r="F173" s="11" t="s">
        <v>237</v>
      </c>
      <c r="G173" s="11" t="s">
        <v>94</v>
      </c>
      <c r="H173" s="11"/>
      <c r="I173" s="11" t="s">
        <v>1046</v>
      </c>
      <c r="J173" s="11" t="s">
        <v>1047</v>
      </c>
      <c r="K173" s="11"/>
      <c r="L173" s="11" t="s">
        <v>70</v>
      </c>
      <c r="M173" s="11" t="s">
        <v>71</v>
      </c>
      <c r="N173" s="11" t="s">
        <v>72</v>
      </c>
      <c r="O173" s="11" t="s">
        <v>19</v>
      </c>
      <c r="P173" s="13"/>
      <c r="Q173" s="13"/>
      <c r="R173" s="13"/>
      <c r="S173" s="13"/>
      <c r="T173" s="11" t="s">
        <v>19</v>
      </c>
      <c r="U173" s="13"/>
      <c r="V173" s="13"/>
      <c r="W173" s="13"/>
      <c r="X173" s="13"/>
      <c r="Y173" s="13"/>
      <c r="Z173" s="13"/>
      <c r="AA173" s="13"/>
    </row>
    <row r="174" spans="1:27" ht="30" x14ac:dyDescent="0.25">
      <c r="A174" s="11" t="s">
        <v>1048</v>
      </c>
      <c r="B174" s="12" t="s">
        <v>315</v>
      </c>
      <c r="C174" s="11" t="s">
        <v>327</v>
      </c>
      <c r="D174" s="11" t="s">
        <v>695</v>
      </c>
      <c r="E174" s="11" t="s">
        <v>1049</v>
      </c>
      <c r="F174" s="11" t="s">
        <v>237</v>
      </c>
      <c r="G174" s="11" t="s">
        <v>94</v>
      </c>
      <c r="H174" s="11"/>
      <c r="I174" s="11" t="s">
        <v>1050</v>
      </c>
      <c r="J174" s="11" t="s">
        <v>1051</v>
      </c>
      <c r="K174" s="11"/>
      <c r="L174" s="11" t="s">
        <v>70</v>
      </c>
      <c r="M174" s="11" t="s">
        <v>71</v>
      </c>
      <c r="N174" s="11" t="s">
        <v>72</v>
      </c>
      <c r="O174" s="11" t="s">
        <v>19</v>
      </c>
      <c r="P174" s="13"/>
      <c r="Q174" s="13"/>
      <c r="R174" s="13"/>
      <c r="S174" s="13"/>
      <c r="T174" s="11" t="s">
        <v>19</v>
      </c>
      <c r="U174" s="13"/>
      <c r="V174" s="13"/>
      <c r="W174" s="13"/>
      <c r="X174" s="13"/>
      <c r="Y174" s="13"/>
      <c r="Z174" s="13"/>
      <c r="AA174" s="13"/>
    </row>
    <row r="175" spans="1:27" ht="30" x14ac:dyDescent="0.25">
      <c r="A175" s="11" t="s">
        <v>1052</v>
      </c>
      <c r="B175" s="12" t="s">
        <v>315</v>
      </c>
      <c r="C175" s="11" t="s">
        <v>316</v>
      </c>
      <c r="D175" s="11" t="s">
        <v>1053</v>
      </c>
      <c r="E175" s="11" t="s">
        <v>1054</v>
      </c>
      <c r="F175" s="11" t="s">
        <v>237</v>
      </c>
      <c r="G175" s="11" t="s">
        <v>67</v>
      </c>
      <c r="H175" s="11"/>
      <c r="I175" s="11" t="s">
        <v>1055</v>
      </c>
      <c r="J175" s="11" t="s">
        <v>1056</v>
      </c>
      <c r="K175" s="11"/>
      <c r="L175" s="11" t="s">
        <v>70</v>
      </c>
      <c r="M175" s="11" t="s">
        <v>71</v>
      </c>
      <c r="N175" s="11" t="s">
        <v>72</v>
      </c>
      <c r="O175" s="11" t="s">
        <v>19</v>
      </c>
      <c r="P175" s="13"/>
      <c r="Q175" s="13"/>
      <c r="R175" s="13"/>
      <c r="S175" s="13"/>
      <c r="T175" s="11" t="s">
        <v>19</v>
      </c>
      <c r="U175" s="13"/>
      <c r="V175" s="13"/>
      <c r="W175" s="13"/>
      <c r="X175" s="13"/>
      <c r="Y175" s="13"/>
      <c r="Z175" s="13"/>
      <c r="AA175" s="13"/>
    </row>
    <row r="176" spans="1:27" ht="45" x14ac:dyDescent="0.25">
      <c r="A176" s="11" t="s">
        <v>1057</v>
      </c>
      <c r="B176" s="12" t="s">
        <v>315</v>
      </c>
      <c r="C176" s="11" t="s">
        <v>316</v>
      </c>
      <c r="D176" s="11" t="s">
        <v>1053</v>
      </c>
      <c r="E176" s="11" t="s">
        <v>1058</v>
      </c>
      <c r="F176" s="11" t="s">
        <v>237</v>
      </c>
      <c r="G176" s="11" t="s">
        <v>67</v>
      </c>
      <c r="H176" s="11"/>
      <c r="I176" s="11" t="s">
        <v>1059</v>
      </c>
      <c r="J176" s="11" t="s">
        <v>1060</v>
      </c>
      <c r="K176" s="11"/>
      <c r="L176" s="11" t="s">
        <v>70</v>
      </c>
      <c r="M176" s="11" t="s">
        <v>71</v>
      </c>
      <c r="N176" s="11" t="s">
        <v>72</v>
      </c>
      <c r="O176" s="11" t="s">
        <v>19</v>
      </c>
      <c r="P176" s="13"/>
      <c r="Q176" s="13"/>
      <c r="R176" s="13"/>
      <c r="S176" s="13"/>
      <c r="T176" s="11" t="s">
        <v>19</v>
      </c>
      <c r="U176" s="13"/>
      <c r="V176" s="13"/>
      <c r="W176" s="13"/>
      <c r="X176" s="13"/>
      <c r="Y176" s="13"/>
      <c r="Z176" s="13"/>
      <c r="AA176" s="13"/>
    </row>
    <row r="177" spans="1:27" ht="45" x14ac:dyDescent="0.25">
      <c r="A177" s="11" t="s">
        <v>1061</v>
      </c>
      <c r="B177" s="12" t="s">
        <v>315</v>
      </c>
      <c r="C177" s="11" t="s">
        <v>316</v>
      </c>
      <c r="D177" s="11" t="s">
        <v>1053</v>
      </c>
      <c r="E177" s="11" t="s">
        <v>1062</v>
      </c>
      <c r="F177" s="11" t="s">
        <v>237</v>
      </c>
      <c r="G177" s="11" t="s">
        <v>75</v>
      </c>
      <c r="H177" s="11"/>
      <c r="I177" s="11" t="s">
        <v>323</v>
      </c>
      <c r="J177" s="11" t="s">
        <v>1063</v>
      </c>
      <c r="K177" s="11"/>
      <c r="L177" s="11" t="s">
        <v>70</v>
      </c>
      <c r="M177" s="11" t="s">
        <v>71</v>
      </c>
      <c r="N177" s="11" t="s">
        <v>72</v>
      </c>
      <c r="O177" s="11" t="s">
        <v>19</v>
      </c>
      <c r="P177" s="13"/>
      <c r="Q177" s="13"/>
      <c r="R177" s="13"/>
      <c r="S177" s="13"/>
      <c r="T177" s="11" t="s">
        <v>19</v>
      </c>
      <c r="U177" s="13"/>
      <c r="V177" s="13"/>
      <c r="W177" s="13"/>
      <c r="X177" s="13"/>
      <c r="Y177" s="13"/>
      <c r="Z177" s="13"/>
      <c r="AA177" s="13"/>
    </row>
    <row r="178" spans="1:27" ht="45" x14ac:dyDescent="0.25">
      <c r="A178" s="11" t="s">
        <v>1064</v>
      </c>
      <c r="B178" s="12" t="s">
        <v>315</v>
      </c>
      <c r="C178" s="11" t="s">
        <v>316</v>
      </c>
      <c r="D178" s="11" t="s">
        <v>1053</v>
      </c>
      <c r="E178" s="11" t="s">
        <v>1065</v>
      </c>
      <c r="F178" s="11" t="s">
        <v>237</v>
      </c>
      <c r="G178" s="11" t="s">
        <v>94</v>
      </c>
      <c r="H178" s="11"/>
      <c r="I178" s="11" t="s">
        <v>1066</v>
      </c>
      <c r="J178" s="11" t="s">
        <v>1067</v>
      </c>
      <c r="K178" s="11"/>
      <c r="L178" s="11" t="s">
        <v>70</v>
      </c>
      <c r="M178" s="11" t="s">
        <v>71</v>
      </c>
      <c r="N178" s="11" t="s">
        <v>72</v>
      </c>
      <c r="O178" s="11" t="s">
        <v>19</v>
      </c>
      <c r="P178" s="13"/>
      <c r="Q178" s="13"/>
      <c r="R178" s="13"/>
      <c r="S178" s="13"/>
      <c r="T178" s="11" t="s">
        <v>19</v>
      </c>
      <c r="U178" s="13"/>
      <c r="V178" s="13"/>
      <c r="W178" s="13"/>
      <c r="X178" s="13"/>
      <c r="Y178" s="13"/>
      <c r="Z178" s="13"/>
      <c r="AA178" s="13"/>
    </row>
    <row r="179" spans="1:27" ht="45" x14ac:dyDescent="0.25">
      <c r="A179" s="11" t="s">
        <v>1068</v>
      </c>
      <c r="B179" s="12" t="s">
        <v>315</v>
      </c>
      <c r="C179" s="11" t="s">
        <v>316</v>
      </c>
      <c r="D179" s="11" t="s">
        <v>1069</v>
      </c>
      <c r="E179" s="11" t="s">
        <v>1070</v>
      </c>
      <c r="F179" s="11" t="s">
        <v>237</v>
      </c>
      <c r="G179" s="11" t="s">
        <v>75</v>
      </c>
      <c r="H179" s="11"/>
      <c r="I179" s="11" t="s">
        <v>1071</v>
      </c>
      <c r="J179" s="11" t="s">
        <v>1072</v>
      </c>
      <c r="K179" s="11"/>
      <c r="L179" s="11" t="s">
        <v>70</v>
      </c>
      <c r="M179" s="11" t="s">
        <v>71</v>
      </c>
      <c r="N179" s="11" t="s">
        <v>72</v>
      </c>
      <c r="O179" s="11" t="s">
        <v>19</v>
      </c>
      <c r="P179" s="13"/>
      <c r="Q179" s="13"/>
      <c r="R179" s="13"/>
      <c r="S179" s="13"/>
      <c r="T179" s="11" t="s">
        <v>19</v>
      </c>
      <c r="U179" s="13"/>
      <c r="V179" s="13"/>
      <c r="W179" s="13"/>
      <c r="X179" s="13"/>
      <c r="Y179" s="13"/>
      <c r="Z179" s="13"/>
      <c r="AA179" s="13"/>
    </row>
    <row r="180" spans="1:27" ht="60" x14ac:dyDescent="0.25">
      <c r="A180" s="11" t="s">
        <v>1073</v>
      </c>
      <c r="B180" s="12" t="s">
        <v>315</v>
      </c>
      <c r="C180" s="11" t="s">
        <v>316</v>
      </c>
      <c r="D180" s="11" t="s">
        <v>1069</v>
      </c>
      <c r="E180" s="11" t="s">
        <v>1074</v>
      </c>
      <c r="F180" s="11" t="s">
        <v>237</v>
      </c>
      <c r="G180" s="11" t="s">
        <v>94</v>
      </c>
      <c r="H180" s="11"/>
      <c r="I180" s="11" t="s">
        <v>1075</v>
      </c>
      <c r="J180" s="11" t="s">
        <v>1076</v>
      </c>
      <c r="K180" s="11"/>
      <c r="L180" s="11" t="s">
        <v>70</v>
      </c>
      <c r="M180" s="11" t="s">
        <v>71</v>
      </c>
      <c r="N180" s="11" t="s">
        <v>72</v>
      </c>
      <c r="O180" s="11" t="s">
        <v>19</v>
      </c>
      <c r="P180" s="13"/>
      <c r="Q180" s="13"/>
      <c r="R180" s="13"/>
      <c r="S180" s="13"/>
      <c r="T180" s="11" t="s">
        <v>19</v>
      </c>
      <c r="U180" s="13"/>
      <c r="V180" s="13"/>
      <c r="W180" s="13"/>
      <c r="X180" s="13"/>
      <c r="Y180" s="13"/>
      <c r="Z180" s="13"/>
      <c r="AA180" s="13"/>
    </row>
    <row r="181" spans="1:27" ht="30" x14ac:dyDescent="0.25">
      <c r="A181" s="11" t="s">
        <v>1077</v>
      </c>
      <c r="B181" s="12" t="s">
        <v>315</v>
      </c>
      <c r="C181" s="11" t="s">
        <v>316</v>
      </c>
      <c r="D181" s="11" t="s">
        <v>1069</v>
      </c>
      <c r="E181" s="11" t="s">
        <v>1078</v>
      </c>
      <c r="F181" s="11" t="s">
        <v>237</v>
      </c>
      <c r="G181" s="11" t="s">
        <v>94</v>
      </c>
      <c r="H181" s="11"/>
      <c r="I181" s="11" t="s">
        <v>1079</v>
      </c>
      <c r="J181" s="11" t="s">
        <v>1080</v>
      </c>
      <c r="K181" s="11"/>
      <c r="L181" s="11" t="s">
        <v>70</v>
      </c>
      <c r="M181" s="11" t="s">
        <v>71</v>
      </c>
      <c r="N181" s="11" t="s">
        <v>72</v>
      </c>
      <c r="O181" s="11" t="s">
        <v>19</v>
      </c>
      <c r="P181" s="13"/>
      <c r="Q181" s="13"/>
      <c r="R181" s="13"/>
      <c r="S181" s="13"/>
      <c r="T181" s="11" t="s">
        <v>19</v>
      </c>
      <c r="U181" s="13"/>
      <c r="V181" s="13"/>
      <c r="W181" s="13"/>
      <c r="X181" s="13"/>
      <c r="Y181" s="13"/>
      <c r="Z181" s="13"/>
      <c r="AA181" s="13"/>
    </row>
    <row r="182" spans="1:27" ht="45" x14ac:dyDescent="0.25">
      <c r="A182" s="11" t="s">
        <v>1081</v>
      </c>
      <c r="B182" s="12" t="s">
        <v>315</v>
      </c>
      <c r="C182" s="11" t="s">
        <v>316</v>
      </c>
      <c r="D182" s="11" t="s">
        <v>1082</v>
      </c>
      <c r="E182" s="11" t="s">
        <v>1083</v>
      </c>
      <c r="F182" s="11" t="s">
        <v>237</v>
      </c>
      <c r="G182" s="11" t="s">
        <v>75</v>
      </c>
      <c r="H182" s="11"/>
      <c r="I182" s="11" t="s">
        <v>1084</v>
      </c>
      <c r="J182" s="11" t="s">
        <v>1085</v>
      </c>
      <c r="K182" s="11"/>
      <c r="L182" s="11" t="s">
        <v>70</v>
      </c>
      <c r="M182" s="11" t="s">
        <v>71</v>
      </c>
      <c r="N182" s="11" t="s">
        <v>72</v>
      </c>
      <c r="O182" s="11" t="s">
        <v>19</v>
      </c>
      <c r="P182" s="13"/>
      <c r="Q182" s="13"/>
      <c r="R182" s="13"/>
      <c r="S182" s="13"/>
      <c r="T182" s="11" t="s">
        <v>19</v>
      </c>
      <c r="U182" s="13"/>
      <c r="V182" s="13"/>
      <c r="W182" s="13"/>
      <c r="X182" s="13"/>
      <c r="Y182" s="13"/>
      <c r="Z182" s="13"/>
      <c r="AA182" s="13"/>
    </row>
    <row r="183" spans="1:27" ht="30" x14ac:dyDescent="0.25">
      <c r="A183" s="11" t="s">
        <v>1086</v>
      </c>
      <c r="B183" s="12" t="s">
        <v>315</v>
      </c>
      <c r="C183" s="11" t="s">
        <v>316</v>
      </c>
      <c r="D183" s="11" t="s">
        <v>1082</v>
      </c>
      <c r="E183" s="11" t="s">
        <v>1087</v>
      </c>
      <c r="F183" s="11" t="s">
        <v>237</v>
      </c>
      <c r="G183" s="11" t="s">
        <v>75</v>
      </c>
      <c r="H183" s="11"/>
      <c r="I183" s="11" t="s">
        <v>1088</v>
      </c>
      <c r="J183" s="11" t="s">
        <v>1089</v>
      </c>
      <c r="K183" s="11"/>
      <c r="L183" s="11" t="s">
        <v>70</v>
      </c>
      <c r="M183" s="11" t="s">
        <v>71</v>
      </c>
      <c r="N183" s="11" t="s">
        <v>72</v>
      </c>
      <c r="O183" s="11" t="s">
        <v>19</v>
      </c>
      <c r="P183" s="13"/>
      <c r="Q183" s="13"/>
      <c r="R183" s="13"/>
      <c r="S183" s="13"/>
      <c r="T183" s="11" t="s">
        <v>19</v>
      </c>
      <c r="U183" s="13"/>
      <c r="V183" s="13"/>
      <c r="W183" s="13"/>
      <c r="X183" s="13"/>
      <c r="Y183" s="13"/>
      <c r="Z183" s="13"/>
      <c r="AA183" s="13"/>
    </row>
    <row r="184" spans="1:27" ht="30" x14ac:dyDescent="0.25">
      <c r="A184" s="11" t="s">
        <v>1090</v>
      </c>
      <c r="B184" s="12" t="s">
        <v>315</v>
      </c>
      <c r="C184" s="11" t="s">
        <v>316</v>
      </c>
      <c r="D184" s="11" t="s">
        <v>1082</v>
      </c>
      <c r="E184" s="11" t="s">
        <v>1091</v>
      </c>
      <c r="F184" s="11" t="s">
        <v>237</v>
      </c>
      <c r="G184" s="11" t="s">
        <v>75</v>
      </c>
      <c r="H184" s="11"/>
      <c r="I184" s="11" t="s">
        <v>1092</v>
      </c>
      <c r="J184" s="11" t="s">
        <v>1093</v>
      </c>
      <c r="K184" s="11"/>
      <c r="L184" s="11" t="s">
        <v>70</v>
      </c>
      <c r="M184" s="11" t="s">
        <v>71</v>
      </c>
      <c r="N184" s="11" t="s">
        <v>72</v>
      </c>
      <c r="O184" s="11" t="s">
        <v>19</v>
      </c>
      <c r="P184" s="13"/>
      <c r="Q184" s="13"/>
      <c r="R184" s="13"/>
      <c r="S184" s="13"/>
      <c r="T184" s="11" t="s">
        <v>19</v>
      </c>
      <c r="U184" s="13"/>
      <c r="V184" s="13"/>
      <c r="W184" s="13"/>
      <c r="X184" s="13"/>
      <c r="Y184" s="13"/>
      <c r="Z184" s="13"/>
      <c r="AA184" s="13"/>
    </row>
    <row r="185" spans="1:27" ht="30" x14ac:dyDescent="0.25">
      <c r="A185" s="11" t="s">
        <v>1094</v>
      </c>
      <c r="B185" s="12" t="s">
        <v>315</v>
      </c>
      <c r="C185" s="11" t="s">
        <v>316</v>
      </c>
      <c r="D185" s="11" t="s">
        <v>1082</v>
      </c>
      <c r="E185" s="11" t="s">
        <v>1095</v>
      </c>
      <c r="F185" s="11" t="s">
        <v>237</v>
      </c>
      <c r="G185" s="11" t="s">
        <v>75</v>
      </c>
      <c r="H185" s="11"/>
      <c r="I185" s="11" t="s">
        <v>1096</v>
      </c>
      <c r="J185" s="11" t="s">
        <v>1097</v>
      </c>
      <c r="K185" s="11"/>
      <c r="L185" s="11" t="s">
        <v>70</v>
      </c>
      <c r="M185" s="11" t="s">
        <v>71</v>
      </c>
      <c r="N185" s="11" t="s">
        <v>72</v>
      </c>
      <c r="O185" s="11" t="s">
        <v>19</v>
      </c>
      <c r="P185" s="13"/>
      <c r="Q185" s="13"/>
      <c r="R185" s="13"/>
      <c r="S185" s="13"/>
      <c r="T185" s="11" t="s">
        <v>19</v>
      </c>
      <c r="U185" s="13"/>
      <c r="V185" s="13"/>
      <c r="W185" s="13"/>
      <c r="X185" s="13"/>
      <c r="Y185" s="13"/>
      <c r="Z185" s="13"/>
      <c r="AA185" s="13"/>
    </row>
    <row r="186" spans="1:27" ht="75" x14ac:dyDescent="0.25">
      <c r="A186" s="11" t="s">
        <v>1098</v>
      </c>
      <c r="B186" s="12" t="s">
        <v>315</v>
      </c>
      <c r="C186" s="11" t="s">
        <v>316</v>
      </c>
      <c r="D186" s="11" t="s">
        <v>700</v>
      </c>
      <c r="E186" s="11" t="s">
        <v>1099</v>
      </c>
      <c r="F186" s="11" t="s">
        <v>237</v>
      </c>
      <c r="G186" s="11" t="s">
        <v>75</v>
      </c>
      <c r="H186" s="11"/>
      <c r="I186" s="11" t="s">
        <v>1100</v>
      </c>
      <c r="J186" s="11" t="s">
        <v>1101</v>
      </c>
      <c r="K186" s="11"/>
      <c r="L186" s="11" t="s">
        <v>70</v>
      </c>
      <c r="M186" s="11" t="s">
        <v>71</v>
      </c>
      <c r="N186" s="11" t="s">
        <v>72</v>
      </c>
      <c r="O186" s="11" t="s">
        <v>19</v>
      </c>
      <c r="P186" s="13"/>
      <c r="Q186" s="13"/>
      <c r="R186" s="13"/>
      <c r="S186" s="13"/>
      <c r="T186" s="11" t="s">
        <v>19</v>
      </c>
      <c r="U186" s="13"/>
      <c r="V186" s="13"/>
      <c r="W186" s="13"/>
      <c r="X186" s="13"/>
      <c r="Y186" s="13"/>
      <c r="Z186" s="13"/>
      <c r="AA186" s="13"/>
    </row>
    <row r="187" spans="1:27" ht="45" x14ac:dyDescent="0.25">
      <c r="A187" s="11" t="s">
        <v>1102</v>
      </c>
      <c r="B187" s="12" t="s">
        <v>315</v>
      </c>
      <c r="C187" s="11" t="s">
        <v>316</v>
      </c>
      <c r="D187" s="11" t="s">
        <v>700</v>
      </c>
      <c r="E187" s="11" t="s">
        <v>1103</v>
      </c>
      <c r="F187" s="11" t="s">
        <v>237</v>
      </c>
      <c r="G187" s="11" t="s">
        <v>75</v>
      </c>
      <c r="H187" s="11"/>
      <c r="I187" s="11" t="s">
        <v>1104</v>
      </c>
      <c r="J187" s="11" t="s">
        <v>1105</v>
      </c>
      <c r="K187" s="11"/>
      <c r="L187" s="11" t="s">
        <v>70</v>
      </c>
      <c r="M187" s="11" t="s">
        <v>71</v>
      </c>
      <c r="N187" s="11" t="s">
        <v>72</v>
      </c>
      <c r="O187" s="11" t="s">
        <v>19</v>
      </c>
      <c r="P187" s="13"/>
      <c r="Q187" s="13"/>
      <c r="R187" s="13"/>
      <c r="S187" s="13"/>
      <c r="T187" s="11" t="s">
        <v>19</v>
      </c>
      <c r="U187" s="13"/>
      <c r="V187" s="13"/>
      <c r="W187" s="13"/>
      <c r="X187" s="13"/>
      <c r="Y187" s="13"/>
      <c r="Z187" s="13"/>
      <c r="AA187" s="13"/>
    </row>
    <row r="188" spans="1:27" ht="45" x14ac:dyDescent="0.25">
      <c r="A188" s="11" t="s">
        <v>1106</v>
      </c>
      <c r="B188" s="12" t="s">
        <v>315</v>
      </c>
      <c r="C188" s="11" t="s">
        <v>316</v>
      </c>
      <c r="D188" s="11" t="s">
        <v>700</v>
      </c>
      <c r="E188" s="11" t="s">
        <v>1107</v>
      </c>
      <c r="F188" s="11" t="s">
        <v>237</v>
      </c>
      <c r="G188" s="11" t="s">
        <v>75</v>
      </c>
      <c r="H188" s="11"/>
      <c r="I188" s="11" t="s">
        <v>1108</v>
      </c>
      <c r="J188" s="11" t="s">
        <v>1109</v>
      </c>
      <c r="K188" s="11"/>
      <c r="L188" s="11" t="s">
        <v>70</v>
      </c>
      <c r="M188" s="11" t="s">
        <v>71</v>
      </c>
      <c r="N188" s="11" t="s">
        <v>72</v>
      </c>
      <c r="O188" s="11" t="s">
        <v>19</v>
      </c>
      <c r="P188" s="13"/>
      <c r="Q188" s="13"/>
      <c r="R188" s="13"/>
      <c r="S188" s="13"/>
      <c r="T188" s="11" t="s">
        <v>19</v>
      </c>
      <c r="U188" s="13"/>
      <c r="V188" s="13"/>
      <c r="W188" s="13"/>
      <c r="X188" s="13"/>
      <c r="Y188" s="13"/>
      <c r="Z188" s="13"/>
      <c r="AA188" s="13"/>
    </row>
    <row r="189" spans="1:27" ht="30" x14ac:dyDescent="0.25">
      <c r="A189" s="11" t="s">
        <v>1110</v>
      </c>
      <c r="B189" s="12" t="s">
        <v>315</v>
      </c>
      <c r="C189" s="11" t="s">
        <v>316</v>
      </c>
      <c r="D189" s="11" t="s">
        <v>700</v>
      </c>
      <c r="E189" s="11" t="s">
        <v>1111</v>
      </c>
      <c r="F189" s="11" t="s">
        <v>237</v>
      </c>
      <c r="G189" s="11" t="s">
        <v>75</v>
      </c>
      <c r="H189" s="11"/>
      <c r="I189" s="11" t="s">
        <v>1112</v>
      </c>
      <c r="J189" s="11" t="s">
        <v>1113</v>
      </c>
      <c r="K189" s="11"/>
      <c r="L189" s="11" t="s">
        <v>70</v>
      </c>
      <c r="M189" s="11" t="s">
        <v>71</v>
      </c>
      <c r="N189" s="11" t="s">
        <v>72</v>
      </c>
      <c r="O189" s="11" t="s">
        <v>19</v>
      </c>
      <c r="P189" s="13"/>
      <c r="Q189" s="13"/>
      <c r="R189" s="13"/>
      <c r="S189" s="13"/>
      <c r="T189" s="11" t="s">
        <v>19</v>
      </c>
      <c r="U189" s="13"/>
      <c r="V189" s="13"/>
      <c r="W189" s="13"/>
      <c r="X189" s="13"/>
      <c r="Y189" s="13"/>
      <c r="Z189" s="13"/>
      <c r="AA189" s="13"/>
    </row>
    <row r="190" spans="1:27" ht="30" x14ac:dyDescent="0.25">
      <c r="A190" s="11" t="s">
        <v>1114</v>
      </c>
      <c r="B190" s="12" t="s">
        <v>315</v>
      </c>
      <c r="C190" s="11" t="s">
        <v>316</v>
      </c>
      <c r="D190" s="11" t="s">
        <v>700</v>
      </c>
      <c r="E190" s="11" t="s">
        <v>1115</v>
      </c>
      <c r="F190" s="11" t="s">
        <v>237</v>
      </c>
      <c r="G190" s="11" t="s">
        <v>94</v>
      </c>
      <c r="H190" s="11"/>
      <c r="I190" s="11" t="s">
        <v>1116</v>
      </c>
      <c r="J190" s="11" t="s">
        <v>1117</v>
      </c>
      <c r="K190" s="11"/>
      <c r="L190" s="11" t="s">
        <v>70</v>
      </c>
      <c r="M190" s="11" t="s">
        <v>71</v>
      </c>
      <c r="N190" s="11" t="s">
        <v>72</v>
      </c>
      <c r="O190" s="11" t="s">
        <v>19</v>
      </c>
      <c r="P190" s="13"/>
      <c r="Q190" s="13"/>
      <c r="R190" s="13"/>
      <c r="S190" s="13"/>
      <c r="T190" s="11" t="s">
        <v>19</v>
      </c>
      <c r="U190" s="13"/>
      <c r="V190" s="13"/>
      <c r="W190" s="13"/>
      <c r="X190" s="13"/>
      <c r="Y190" s="13"/>
      <c r="Z190" s="13"/>
      <c r="AA190" s="13"/>
    </row>
    <row r="191" spans="1:27" ht="30" x14ac:dyDescent="0.25">
      <c r="A191" s="11" t="s">
        <v>1118</v>
      </c>
      <c r="B191" s="12" t="s">
        <v>315</v>
      </c>
      <c r="C191" s="11" t="s">
        <v>316</v>
      </c>
      <c r="D191" s="11" t="s">
        <v>700</v>
      </c>
      <c r="E191" s="11" t="s">
        <v>1119</v>
      </c>
      <c r="F191" s="11" t="s">
        <v>237</v>
      </c>
      <c r="G191" s="11" t="s">
        <v>94</v>
      </c>
      <c r="H191" s="11"/>
      <c r="I191" s="11" t="s">
        <v>1120</v>
      </c>
      <c r="J191" s="11" t="s">
        <v>1121</v>
      </c>
      <c r="K191" s="11"/>
      <c r="L191" s="11" t="s">
        <v>70</v>
      </c>
      <c r="M191" s="11" t="s">
        <v>71</v>
      </c>
      <c r="N191" s="11" t="s">
        <v>72</v>
      </c>
      <c r="O191" s="11" t="s">
        <v>19</v>
      </c>
      <c r="P191" s="13"/>
      <c r="Q191" s="13"/>
      <c r="R191" s="13"/>
      <c r="S191" s="13"/>
      <c r="T191" s="11" t="s">
        <v>19</v>
      </c>
      <c r="U191" s="13"/>
      <c r="V191" s="13"/>
      <c r="W191" s="13"/>
      <c r="X191" s="13"/>
      <c r="Y191" s="13"/>
      <c r="Z191" s="13"/>
      <c r="AA191" s="13"/>
    </row>
    <row r="192" spans="1:27" ht="75" x14ac:dyDescent="0.25">
      <c r="A192" s="11" t="s">
        <v>1122</v>
      </c>
      <c r="B192" s="12" t="s">
        <v>315</v>
      </c>
      <c r="C192" s="11" t="s">
        <v>316</v>
      </c>
      <c r="D192" s="11" t="s">
        <v>1123</v>
      </c>
      <c r="E192" s="11" t="s">
        <v>1124</v>
      </c>
      <c r="F192" s="11" t="s">
        <v>237</v>
      </c>
      <c r="G192" s="11" t="s">
        <v>67</v>
      </c>
      <c r="H192" s="11"/>
      <c r="I192" s="11" t="s">
        <v>1125</v>
      </c>
      <c r="J192" s="11" t="s">
        <v>1126</v>
      </c>
      <c r="K192" s="11"/>
      <c r="L192" s="11" t="s">
        <v>70</v>
      </c>
      <c r="M192" s="11" t="s">
        <v>71</v>
      </c>
      <c r="N192" s="11" t="s">
        <v>72</v>
      </c>
      <c r="O192" s="11" t="s">
        <v>19</v>
      </c>
      <c r="P192" s="13"/>
      <c r="Q192" s="13"/>
      <c r="R192" s="13"/>
      <c r="S192" s="13"/>
      <c r="T192" s="11" t="s">
        <v>19</v>
      </c>
      <c r="U192" s="13"/>
      <c r="V192" s="13"/>
      <c r="W192" s="13"/>
      <c r="X192" s="13"/>
      <c r="Y192" s="13"/>
      <c r="Z192" s="13"/>
      <c r="AA192" s="13"/>
    </row>
    <row r="193" spans="1:27" ht="45" x14ac:dyDescent="0.25">
      <c r="A193" s="11" t="s">
        <v>1127</v>
      </c>
      <c r="B193" s="12" t="s">
        <v>315</v>
      </c>
      <c r="C193" s="11" t="s">
        <v>316</v>
      </c>
      <c r="D193" s="11" t="s">
        <v>1123</v>
      </c>
      <c r="E193" s="11" t="s">
        <v>1128</v>
      </c>
      <c r="F193" s="11" t="s">
        <v>237</v>
      </c>
      <c r="G193" s="11" t="s">
        <v>67</v>
      </c>
      <c r="H193" s="11"/>
      <c r="I193" s="11" t="s">
        <v>1129</v>
      </c>
      <c r="J193" s="11" t="s">
        <v>1130</v>
      </c>
      <c r="K193" s="11"/>
      <c r="L193" s="11" t="s">
        <v>70</v>
      </c>
      <c r="M193" s="11" t="s">
        <v>71</v>
      </c>
      <c r="N193" s="11" t="s">
        <v>72</v>
      </c>
      <c r="O193" s="11" t="s">
        <v>19</v>
      </c>
      <c r="P193" s="13"/>
      <c r="Q193" s="13"/>
      <c r="R193" s="13"/>
      <c r="S193" s="13"/>
      <c r="T193" s="11" t="s">
        <v>19</v>
      </c>
      <c r="U193" s="13"/>
      <c r="V193" s="13"/>
      <c r="W193" s="13"/>
      <c r="X193" s="13"/>
      <c r="Y193" s="13"/>
      <c r="Z193" s="13"/>
      <c r="AA193" s="13"/>
    </row>
    <row r="194" spans="1:27" ht="45" x14ac:dyDescent="0.25">
      <c r="A194" s="11" t="s">
        <v>1131</v>
      </c>
      <c r="B194" s="12" t="s">
        <v>315</v>
      </c>
      <c r="C194" s="11" t="s">
        <v>316</v>
      </c>
      <c r="D194" s="11" t="s">
        <v>1123</v>
      </c>
      <c r="E194" s="11" t="s">
        <v>1132</v>
      </c>
      <c r="F194" s="11" t="s">
        <v>237</v>
      </c>
      <c r="G194" s="11" t="s">
        <v>75</v>
      </c>
      <c r="H194" s="11"/>
      <c r="I194" s="11" t="s">
        <v>1133</v>
      </c>
      <c r="J194" s="11" t="s">
        <v>1134</v>
      </c>
      <c r="K194" s="11"/>
      <c r="L194" s="11" t="s">
        <v>70</v>
      </c>
      <c r="M194" s="11" t="s">
        <v>71</v>
      </c>
      <c r="N194" s="11" t="s">
        <v>72</v>
      </c>
      <c r="O194" s="11" t="s">
        <v>19</v>
      </c>
      <c r="P194" s="13"/>
      <c r="Q194" s="13"/>
      <c r="R194" s="13"/>
      <c r="S194" s="13"/>
      <c r="T194" s="11" t="s">
        <v>19</v>
      </c>
      <c r="U194" s="13"/>
      <c r="V194" s="13"/>
      <c r="W194" s="13"/>
      <c r="X194" s="13"/>
      <c r="Y194" s="13"/>
      <c r="Z194" s="13"/>
      <c r="AA194" s="13"/>
    </row>
    <row r="195" spans="1:27" ht="45" x14ac:dyDescent="0.25">
      <c r="A195" s="11" t="s">
        <v>1135</v>
      </c>
      <c r="B195" s="12" t="s">
        <v>315</v>
      </c>
      <c r="C195" s="11" t="s">
        <v>316</v>
      </c>
      <c r="D195" s="11" t="s">
        <v>1123</v>
      </c>
      <c r="E195" s="11" t="s">
        <v>1136</v>
      </c>
      <c r="F195" s="11" t="s">
        <v>237</v>
      </c>
      <c r="G195" s="11" t="s">
        <v>75</v>
      </c>
      <c r="H195" s="11"/>
      <c r="I195" s="11" t="s">
        <v>1137</v>
      </c>
      <c r="J195" s="11" t="s">
        <v>1138</v>
      </c>
      <c r="K195" s="11"/>
      <c r="L195" s="11" t="s">
        <v>70</v>
      </c>
      <c r="M195" s="11" t="s">
        <v>71</v>
      </c>
      <c r="N195" s="11" t="s">
        <v>72</v>
      </c>
      <c r="O195" s="11" t="s">
        <v>19</v>
      </c>
      <c r="P195" s="13"/>
      <c r="Q195" s="13"/>
      <c r="R195" s="13"/>
      <c r="S195" s="13"/>
      <c r="T195" s="11" t="s">
        <v>19</v>
      </c>
      <c r="U195" s="13"/>
      <c r="V195" s="13"/>
      <c r="W195" s="13"/>
      <c r="X195" s="13"/>
      <c r="Y195" s="13"/>
      <c r="Z195" s="13"/>
      <c r="AA195" s="13"/>
    </row>
    <row r="196" spans="1:27" ht="30" x14ac:dyDescent="0.25">
      <c r="A196" s="11" t="s">
        <v>1139</v>
      </c>
      <c r="B196" s="12" t="s">
        <v>315</v>
      </c>
      <c r="C196" s="11" t="s">
        <v>316</v>
      </c>
      <c r="D196" s="11" t="s">
        <v>1123</v>
      </c>
      <c r="E196" s="11" t="s">
        <v>1140</v>
      </c>
      <c r="F196" s="11" t="s">
        <v>237</v>
      </c>
      <c r="G196" s="11" t="s">
        <v>94</v>
      </c>
      <c r="H196" s="11"/>
      <c r="I196" s="11" t="s">
        <v>1141</v>
      </c>
      <c r="J196" s="11" t="s">
        <v>1142</v>
      </c>
      <c r="K196" s="11"/>
      <c r="L196" s="11" t="s">
        <v>70</v>
      </c>
      <c r="M196" s="11" t="s">
        <v>71</v>
      </c>
      <c r="N196" s="11" t="s">
        <v>72</v>
      </c>
      <c r="O196" s="11" t="s">
        <v>19</v>
      </c>
      <c r="P196" s="13"/>
      <c r="Q196" s="13"/>
      <c r="R196" s="13"/>
      <c r="S196" s="13"/>
      <c r="T196" s="11" t="s">
        <v>19</v>
      </c>
      <c r="U196" s="13"/>
      <c r="V196" s="13"/>
      <c r="W196" s="13"/>
      <c r="X196" s="13"/>
      <c r="Y196" s="13"/>
      <c r="Z196" s="13"/>
      <c r="AA196" s="13"/>
    </row>
    <row r="197" spans="1:27" ht="30" x14ac:dyDescent="0.25">
      <c r="A197" s="11" t="s">
        <v>1143</v>
      </c>
      <c r="B197" s="12" t="s">
        <v>315</v>
      </c>
      <c r="C197" s="11" t="s">
        <v>316</v>
      </c>
      <c r="D197" s="11" t="s">
        <v>1123</v>
      </c>
      <c r="E197" s="11" t="s">
        <v>1144</v>
      </c>
      <c r="F197" s="11" t="s">
        <v>237</v>
      </c>
      <c r="G197" s="11" t="s">
        <v>94</v>
      </c>
      <c r="H197" s="11"/>
      <c r="I197" s="11" t="s">
        <v>1145</v>
      </c>
      <c r="J197" s="11" t="s">
        <v>1146</v>
      </c>
      <c r="K197" s="11"/>
      <c r="L197" s="11" t="s">
        <v>70</v>
      </c>
      <c r="M197" s="11" t="s">
        <v>71</v>
      </c>
      <c r="N197" s="11" t="s">
        <v>72</v>
      </c>
      <c r="O197" s="11" t="s">
        <v>19</v>
      </c>
      <c r="P197" s="13"/>
      <c r="Q197" s="13"/>
      <c r="R197" s="13"/>
      <c r="S197" s="13"/>
      <c r="T197" s="11" t="s">
        <v>19</v>
      </c>
      <c r="U197" s="13"/>
      <c r="V197" s="13"/>
      <c r="W197" s="13"/>
      <c r="X197" s="13"/>
      <c r="Y197" s="13"/>
      <c r="Z197" s="13"/>
      <c r="AA197" s="13"/>
    </row>
    <row r="198" spans="1:27" ht="45" x14ac:dyDescent="0.25">
      <c r="A198" s="11" t="s">
        <v>1147</v>
      </c>
      <c r="B198" s="12" t="s">
        <v>315</v>
      </c>
      <c r="C198" s="11" t="s">
        <v>411</v>
      </c>
      <c r="D198" s="11" t="s">
        <v>1148</v>
      </c>
      <c r="E198" s="11" t="s">
        <v>1149</v>
      </c>
      <c r="F198" s="11" t="s">
        <v>237</v>
      </c>
      <c r="G198" s="11" t="s">
        <v>67</v>
      </c>
      <c r="H198" s="11"/>
      <c r="I198" s="11" t="s">
        <v>1150</v>
      </c>
      <c r="J198" s="11" t="s">
        <v>1151</v>
      </c>
      <c r="K198" s="11"/>
      <c r="L198" s="11" t="s">
        <v>70</v>
      </c>
      <c r="M198" s="11" t="s">
        <v>71</v>
      </c>
      <c r="N198" s="11" t="s">
        <v>72</v>
      </c>
      <c r="O198" s="11" t="s">
        <v>19</v>
      </c>
      <c r="P198" s="13"/>
      <c r="Q198" s="13"/>
      <c r="R198" s="13"/>
      <c r="S198" s="13"/>
      <c r="T198" s="11" t="s">
        <v>19</v>
      </c>
      <c r="U198" s="13"/>
      <c r="V198" s="13"/>
      <c r="W198" s="13"/>
      <c r="X198" s="13"/>
      <c r="Y198" s="13"/>
      <c r="Z198" s="13"/>
      <c r="AA198" s="13"/>
    </row>
    <row r="199" spans="1:27" ht="30" x14ac:dyDescent="0.25">
      <c r="A199" s="11" t="s">
        <v>1152</v>
      </c>
      <c r="B199" s="12" t="s">
        <v>315</v>
      </c>
      <c r="C199" s="11" t="s">
        <v>411</v>
      </c>
      <c r="D199" s="11" t="s">
        <v>1148</v>
      </c>
      <c r="E199" s="11" t="s">
        <v>1153</v>
      </c>
      <c r="F199" s="11" t="s">
        <v>237</v>
      </c>
      <c r="G199" s="11" t="s">
        <v>75</v>
      </c>
      <c r="H199" s="11"/>
      <c r="I199" s="11" t="s">
        <v>1154</v>
      </c>
      <c r="J199" s="11" t="s">
        <v>1155</v>
      </c>
      <c r="K199" s="11"/>
      <c r="L199" s="11" t="s">
        <v>70</v>
      </c>
      <c r="M199" s="11" t="s">
        <v>71</v>
      </c>
      <c r="N199" s="11" t="s">
        <v>72</v>
      </c>
      <c r="O199" s="11" t="s">
        <v>19</v>
      </c>
      <c r="P199" s="13"/>
      <c r="Q199" s="13"/>
      <c r="R199" s="13"/>
      <c r="S199" s="13"/>
      <c r="T199" s="11" t="s">
        <v>19</v>
      </c>
      <c r="U199" s="13"/>
      <c r="V199" s="13"/>
      <c r="W199" s="13"/>
      <c r="X199" s="13"/>
      <c r="Y199" s="13"/>
      <c r="Z199" s="13"/>
      <c r="AA199" s="13"/>
    </row>
    <row r="200" spans="1:27" ht="45" x14ac:dyDescent="0.25">
      <c r="A200" s="11" t="s">
        <v>1156</v>
      </c>
      <c r="B200" s="12" t="s">
        <v>481</v>
      </c>
      <c r="C200" s="11" t="s">
        <v>482</v>
      </c>
      <c r="D200" s="11" t="s">
        <v>1157</v>
      </c>
      <c r="E200" s="11" t="s">
        <v>1158</v>
      </c>
      <c r="F200" s="11" t="s">
        <v>237</v>
      </c>
      <c r="G200" s="11" t="s">
        <v>75</v>
      </c>
      <c r="H200" s="11"/>
      <c r="I200" s="11" t="s">
        <v>1159</v>
      </c>
      <c r="J200" s="11" t="s">
        <v>1160</v>
      </c>
      <c r="K200" s="11"/>
      <c r="L200" s="11" t="s">
        <v>70</v>
      </c>
      <c r="M200" s="11" t="s">
        <v>71</v>
      </c>
      <c r="N200" s="11" t="s">
        <v>72</v>
      </c>
      <c r="O200" s="11" t="s">
        <v>19</v>
      </c>
      <c r="P200" s="13"/>
      <c r="Q200" s="13"/>
      <c r="R200" s="13"/>
      <c r="S200" s="13"/>
      <c r="T200" s="11" t="s">
        <v>19</v>
      </c>
      <c r="U200" s="13"/>
      <c r="V200" s="13"/>
      <c r="W200" s="13"/>
      <c r="X200" s="13"/>
      <c r="Y200" s="13"/>
      <c r="Z200" s="13"/>
      <c r="AA200" s="13"/>
    </row>
    <row r="201" spans="1:27" ht="30" x14ac:dyDescent="0.25">
      <c r="A201" s="11" t="s">
        <v>1161</v>
      </c>
      <c r="B201" s="12" t="s">
        <v>481</v>
      </c>
      <c r="C201" s="11" t="s">
        <v>482</v>
      </c>
      <c r="D201" s="11" t="s">
        <v>1162</v>
      </c>
      <c r="E201" s="11" t="s">
        <v>1163</v>
      </c>
      <c r="F201" s="11" t="s">
        <v>237</v>
      </c>
      <c r="G201" s="11" t="s">
        <v>75</v>
      </c>
      <c r="H201" s="11"/>
      <c r="I201" s="11" t="s">
        <v>1164</v>
      </c>
      <c r="J201" s="11" t="s">
        <v>1165</v>
      </c>
      <c r="K201" s="11"/>
      <c r="L201" s="11" t="s">
        <v>70</v>
      </c>
      <c r="M201" s="11" t="s">
        <v>71</v>
      </c>
      <c r="N201" s="11" t="s">
        <v>72</v>
      </c>
      <c r="O201" s="11" t="s">
        <v>19</v>
      </c>
      <c r="P201" s="13"/>
      <c r="Q201" s="13"/>
      <c r="R201" s="13"/>
      <c r="S201" s="13"/>
      <c r="T201" s="11" t="s">
        <v>19</v>
      </c>
      <c r="U201" s="13"/>
      <c r="V201" s="13"/>
      <c r="W201" s="13"/>
      <c r="X201" s="13"/>
      <c r="Y201" s="13"/>
      <c r="Z201" s="13"/>
      <c r="AA201" s="13"/>
    </row>
    <row r="202" spans="1:27" ht="45" x14ac:dyDescent="0.25">
      <c r="A202" s="11" t="s">
        <v>1166</v>
      </c>
      <c r="B202" s="12" t="s">
        <v>481</v>
      </c>
      <c r="C202" s="11" t="s">
        <v>482</v>
      </c>
      <c r="D202" s="11" t="s">
        <v>1167</v>
      </c>
      <c r="E202" s="11" t="s">
        <v>1168</v>
      </c>
      <c r="F202" s="11" t="s">
        <v>237</v>
      </c>
      <c r="G202" s="11" t="s">
        <v>94</v>
      </c>
      <c r="H202" s="11"/>
      <c r="I202" s="11" t="s">
        <v>1169</v>
      </c>
      <c r="J202" s="11" t="s">
        <v>1170</v>
      </c>
      <c r="K202" s="11"/>
      <c r="L202" s="11" t="s">
        <v>70</v>
      </c>
      <c r="M202" s="11" t="s">
        <v>71</v>
      </c>
      <c r="N202" s="11" t="s">
        <v>72</v>
      </c>
      <c r="O202" s="11" t="s">
        <v>19</v>
      </c>
      <c r="P202" s="13"/>
      <c r="Q202" s="13"/>
      <c r="R202" s="13"/>
      <c r="S202" s="13"/>
      <c r="T202" s="11" t="s">
        <v>19</v>
      </c>
      <c r="U202" s="13"/>
      <c r="V202" s="13"/>
      <c r="W202" s="13"/>
      <c r="X202" s="13"/>
      <c r="Y202" s="13"/>
      <c r="Z202" s="13"/>
      <c r="AA202" s="13"/>
    </row>
    <row r="203" spans="1:27" ht="30" x14ac:dyDescent="0.25">
      <c r="A203" s="11" t="s">
        <v>1171</v>
      </c>
      <c r="B203" s="12" t="s">
        <v>315</v>
      </c>
      <c r="C203" s="11" t="s">
        <v>186</v>
      </c>
      <c r="D203" s="11" t="s">
        <v>1172</v>
      </c>
      <c r="E203" s="11" t="s">
        <v>1173</v>
      </c>
      <c r="F203" s="11" t="s">
        <v>237</v>
      </c>
      <c r="G203" s="11" t="s">
        <v>75</v>
      </c>
      <c r="H203" s="11"/>
      <c r="I203" s="11" t="s">
        <v>1174</v>
      </c>
      <c r="J203" s="11" t="s">
        <v>1175</v>
      </c>
      <c r="K203" s="11"/>
      <c r="L203" s="11" t="s">
        <v>70</v>
      </c>
      <c r="M203" s="11" t="s">
        <v>71</v>
      </c>
      <c r="N203" s="11" t="s">
        <v>72</v>
      </c>
      <c r="O203" s="11" t="s">
        <v>19</v>
      </c>
      <c r="P203" s="13"/>
      <c r="Q203" s="13"/>
      <c r="R203" s="13"/>
      <c r="S203" s="13"/>
      <c r="T203" s="11" t="s">
        <v>19</v>
      </c>
      <c r="U203" s="13"/>
      <c r="V203" s="13"/>
      <c r="W203" s="13"/>
      <c r="X203" s="13"/>
      <c r="Y203" s="13"/>
      <c r="Z203" s="13"/>
      <c r="AA203" s="13"/>
    </row>
    <row r="204" spans="1:27" ht="30" x14ac:dyDescent="0.25">
      <c r="A204" s="11" t="s">
        <v>1176</v>
      </c>
      <c r="B204" s="12" t="s">
        <v>315</v>
      </c>
      <c r="C204" s="11" t="s">
        <v>186</v>
      </c>
      <c r="D204" s="11" t="s">
        <v>1172</v>
      </c>
      <c r="E204" s="11" t="s">
        <v>1177</v>
      </c>
      <c r="F204" s="11" t="s">
        <v>237</v>
      </c>
      <c r="G204" s="11" t="s">
        <v>75</v>
      </c>
      <c r="H204" s="11"/>
      <c r="I204" s="11" t="s">
        <v>1178</v>
      </c>
      <c r="J204" s="11" t="s">
        <v>1179</v>
      </c>
      <c r="K204" s="11"/>
      <c r="L204" s="11" t="s">
        <v>70</v>
      </c>
      <c r="M204" s="11" t="s">
        <v>71</v>
      </c>
      <c r="N204" s="11" t="s">
        <v>72</v>
      </c>
      <c r="O204" s="11" t="s">
        <v>19</v>
      </c>
      <c r="P204" s="13"/>
      <c r="Q204" s="13"/>
      <c r="R204" s="13"/>
      <c r="S204" s="13"/>
      <c r="T204" s="11" t="s">
        <v>19</v>
      </c>
      <c r="U204" s="13"/>
      <c r="V204" s="13"/>
      <c r="W204" s="13"/>
      <c r="X204" s="13"/>
      <c r="Y204" s="13"/>
      <c r="Z204" s="13"/>
      <c r="AA204" s="13"/>
    </row>
    <row r="205" spans="1:27" ht="30" x14ac:dyDescent="0.25">
      <c r="A205" s="11" t="s">
        <v>1180</v>
      </c>
      <c r="B205" s="12" t="s">
        <v>315</v>
      </c>
      <c r="C205" s="11" t="s">
        <v>186</v>
      </c>
      <c r="D205" s="11" t="s">
        <v>1172</v>
      </c>
      <c r="E205" s="11" t="s">
        <v>1181</v>
      </c>
      <c r="F205" s="11" t="s">
        <v>237</v>
      </c>
      <c r="G205" s="11" t="s">
        <v>94</v>
      </c>
      <c r="H205" s="11"/>
      <c r="I205" s="11" t="s">
        <v>1182</v>
      </c>
      <c r="J205" s="11" t="s">
        <v>1183</v>
      </c>
      <c r="K205" s="11"/>
      <c r="L205" s="11" t="s">
        <v>70</v>
      </c>
      <c r="M205" s="11" t="s">
        <v>71</v>
      </c>
      <c r="N205" s="11" t="s">
        <v>72</v>
      </c>
      <c r="O205" s="11" t="s">
        <v>19</v>
      </c>
      <c r="P205" s="13"/>
      <c r="Q205" s="13"/>
      <c r="R205" s="13"/>
      <c r="S205" s="13"/>
      <c r="T205" s="11" t="s">
        <v>19</v>
      </c>
      <c r="U205" s="13"/>
      <c r="V205" s="13"/>
      <c r="W205" s="13"/>
      <c r="X205" s="13"/>
      <c r="Y205" s="13"/>
      <c r="Z205" s="13"/>
      <c r="AA205" s="13"/>
    </row>
    <row r="206" spans="1:27" ht="30" x14ac:dyDescent="0.25">
      <c r="A206" s="11" t="s">
        <v>1184</v>
      </c>
      <c r="B206" s="12" t="s">
        <v>315</v>
      </c>
      <c r="C206" s="11" t="s">
        <v>1185</v>
      </c>
      <c r="D206" s="11" t="s">
        <v>1186</v>
      </c>
      <c r="E206" s="11" t="s">
        <v>1187</v>
      </c>
      <c r="F206" s="11" t="s">
        <v>237</v>
      </c>
      <c r="G206" s="11" t="s">
        <v>75</v>
      </c>
      <c r="H206" s="11"/>
      <c r="I206" s="11" t="s">
        <v>1188</v>
      </c>
      <c r="J206" s="11" t="s">
        <v>1189</v>
      </c>
      <c r="K206" s="11"/>
      <c r="L206" s="11" t="s">
        <v>70</v>
      </c>
      <c r="M206" s="11" t="s">
        <v>71</v>
      </c>
      <c r="N206" s="11" t="s">
        <v>72</v>
      </c>
      <c r="O206" s="11" t="s">
        <v>19</v>
      </c>
      <c r="P206" s="13"/>
      <c r="Q206" s="13"/>
      <c r="R206" s="13"/>
      <c r="S206" s="13"/>
      <c r="T206" s="11" t="s">
        <v>19</v>
      </c>
      <c r="U206" s="13"/>
      <c r="V206" s="13"/>
      <c r="W206" s="13"/>
      <c r="X206" s="13"/>
      <c r="Y206" s="13"/>
      <c r="Z206" s="13"/>
      <c r="AA206" s="13"/>
    </row>
    <row r="207" spans="1:27" ht="30" x14ac:dyDescent="0.25">
      <c r="A207" s="11" t="s">
        <v>1190</v>
      </c>
      <c r="B207" s="12" t="s">
        <v>315</v>
      </c>
      <c r="C207" s="11" t="s">
        <v>1185</v>
      </c>
      <c r="D207" s="11" t="s">
        <v>1186</v>
      </c>
      <c r="E207" s="11" t="s">
        <v>1191</v>
      </c>
      <c r="F207" s="11" t="s">
        <v>237</v>
      </c>
      <c r="G207" s="11" t="s">
        <v>75</v>
      </c>
      <c r="H207" s="11"/>
      <c r="I207" s="11" t="s">
        <v>1192</v>
      </c>
      <c r="J207" s="11" t="s">
        <v>1193</v>
      </c>
      <c r="K207" s="11"/>
      <c r="L207" s="11" t="s">
        <v>70</v>
      </c>
      <c r="M207" s="11" t="s">
        <v>71</v>
      </c>
      <c r="N207" s="11" t="s">
        <v>72</v>
      </c>
      <c r="O207" s="11" t="s">
        <v>19</v>
      </c>
      <c r="P207" s="13"/>
      <c r="Q207" s="13"/>
      <c r="R207" s="13"/>
      <c r="S207" s="13"/>
      <c r="T207" s="11" t="s">
        <v>19</v>
      </c>
      <c r="U207" s="13"/>
      <c r="V207" s="13"/>
      <c r="W207" s="13"/>
      <c r="X207" s="13"/>
      <c r="Y207" s="13"/>
      <c r="Z207" s="13"/>
      <c r="AA207" s="13"/>
    </row>
    <row r="208" spans="1:27" ht="15.75" x14ac:dyDescent="0.25">
      <c r="A208" s="53" t="s">
        <v>303</v>
      </c>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5"/>
    </row>
    <row r="209" spans="1:27" ht="30" x14ac:dyDescent="0.25">
      <c r="A209" s="11" t="s">
        <v>1194</v>
      </c>
      <c r="B209" s="12" t="s">
        <v>656</v>
      </c>
      <c r="C209" s="11" t="s">
        <v>670</v>
      </c>
      <c r="D209" s="11" t="s">
        <v>671</v>
      </c>
      <c r="E209" s="11" t="s">
        <v>1195</v>
      </c>
      <c r="F209" s="11" t="s">
        <v>206</v>
      </c>
      <c r="G209" s="11" t="s">
        <v>75</v>
      </c>
      <c r="H209" s="11"/>
      <c r="I209" s="11" t="s">
        <v>1196</v>
      </c>
      <c r="J209" s="11" t="s">
        <v>1197</v>
      </c>
      <c r="K209" s="11"/>
      <c r="L209" s="11" t="s">
        <v>70</v>
      </c>
      <c r="M209" s="11" t="s">
        <v>71</v>
      </c>
      <c r="N209" s="11" t="s">
        <v>72</v>
      </c>
      <c r="O209" s="11" t="s">
        <v>19</v>
      </c>
      <c r="P209" s="13"/>
      <c r="Q209" s="13"/>
      <c r="R209" s="13"/>
      <c r="S209" s="13"/>
      <c r="T209" s="11" t="s">
        <v>19</v>
      </c>
      <c r="U209" s="13"/>
      <c r="V209" s="13"/>
      <c r="W209" s="13"/>
      <c r="X209" s="13"/>
      <c r="Y209" s="13"/>
      <c r="Z209" s="13"/>
      <c r="AA209" s="13"/>
    </row>
  </sheetData>
  <autoFilter ref="A1:AA1" xr:uid="{00000000-0009-0000-0000-000003000000}"/>
  <mergeCells count="4">
    <mergeCell ref="A208:AA208"/>
    <mergeCell ref="A60:AA60"/>
    <mergeCell ref="A89:AA89"/>
    <mergeCell ref="A2:AA2"/>
  </mergeCells>
  <dataValidations count="4">
    <dataValidation type="list" allowBlank="1" sqref="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9" xr:uid="{00000000-0002-0000-0300-000000000000}">
      <formula1>"Add new,Update,Delete"</formula1>
    </dataValidation>
    <dataValidation type="list" allowBlank="1"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9" xr:uid="{00000000-0002-0000-0300-000001000000}">
      <formula1>"By AI,By Manual"</formula1>
    </dataValidation>
    <dataValidation type="list" allowBlank="1" sqref="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9" xr:uid="{00000000-0002-0000-0300-000002000000}">
      <formula1>"Auto,Manual"</formula1>
    </dataValidation>
    <dataValidation type="list" allowBlank="1" sqref="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9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T201 T202 T203 T204 T205 T206 T207 T209" xr:uid="{00000000-0002-0000-0300-000003000000}">
      <formula1>"Untested,Pass,Fail,N/A"</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4"/>
  <sheetViews>
    <sheetView workbookViewId="0">
      <pane ySplit="1" topLeftCell="A2" activePane="bottomLeft" state="frozen"/>
      <selection pane="bottomLeft"/>
    </sheetView>
  </sheetViews>
  <sheetFormatPr defaultRowHeight="15" x14ac:dyDescent="0.25"/>
  <cols>
    <col min="1" max="1" width="16" customWidth="1"/>
    <col min="2" max="2" width="22" customWidth="1"/>
    <col min="3" max="3" width="12" customWidth="1"/>
    <col min="4" max="4" width="22" customWidth="1"/>
    <col min="5" max="5" width="35" customWidth="1"/>
    <col min="6" max="6" width="14" customWidth="1"/>
    <col min="7" max="7" width="10" customWidth="1"/>
    <col min="8" max="8" width="30" customWidth="1"/>
    <col min="9" max="9" width="45" customWidth="1"/>
    <col min="10" max="11" width="40" customWidth="1"/>
    <col min="12" max="12" width="12" customWidth="1"/>
    <col min="13" max="14" width="14" customWidth="1"/>
    <col min="15" max="15" width="10" customWidth="1"/>
    <col min="16" max="16" width="12" customWidth="1"/>
    <col min="17" max="17" width="10" customWidth="1"/>
    <col min="18" max="18" width="14" customWidth="1"/>
    <col min="19" max="19" width="35" customWidth="1"/>
    <col min="20" max="20" width="10" customWidth="1"/>
    <col min="21" max="21" width="12" customWidth="1"/>
    <col min="22" max="22" width="10" customWidth="1"/>
    <col min="23" max="23" width="14" customWidth="1"/>
    <col min="24" max="24" width="35" customWidth="1"/>
    <col min="25" max="25" width="30" customWidth="1"/>
    <col min="26" max="26" width="15" customWidth="1"/>
    <col min="27" max="27" width="35" customWidth="1"/>
  </cols>
  <sheetData>
    <row r="1" spans="1:27" ht="30" customHeight="1" x14ac:dyDescent="0.25">
      <c r="A1" s="8" t="s">
        <v>33</v>
      </c>
      <c r="B1" s="9" t="s">
        <v>34</v>
      </c>
      <c r="C1" s="8" t="s">
        <v>35</v>
      </c>
      <c r="D1" s="8" t="s">
        <v>36</v>
      </c>
      <c r="E1" s="8" t="s">
        <v>37</v>
      </c>
      <c r="F1" s="8" t="s">
        <v>38</v>
      </c>
      <c r="G1" s="8" t="s">
        <v>39</v>
      </c>
      <c r="H1" s="8" t="s">
        <v>40</v>
      </c>
      <c r="I1" s="8" t="s">
        <v>41</v>
      </c>
      <c r="J1" s="8" t="s">
        <v>42</v>
      </c>
      <c r="K1" s="8" t="s">
        <v>43</v>
      </c>
      <c r="L1" s="8" t="s">
        <v>44</v>
      </c>
      <c r="M1" s="8" t="s">
        <v>45</v>
      </c>
      <c r="N1" s="8" t="s">
        <v>46</v>
      </c>
      <c r="O1" s="8" t="s">
        <v>47</v>
      </c>
      <c r="P1" s="8" t="s">
        <v>48</v>
      </c>
      <c r="Q1" s="8" t="s">
        <v>49</v>
      </c>
      <c r="R1" s="8" t="s">
        <v>50</v>
      </c>
      <c r="S1" s="8" t="s">
        <v>51</v>
      </c>
      <c r="T1" s="8" t="s">
        <v>52</v>
      </c>
      <c r="U1" s="8" t="s">
        <v>53</v>
      </c>
      <c r="V1" s="8" t="s">
        <v>54</v>
      </c>
      <c r="W1" s="8" t="s">
        <v>55</v>
      </c>
      <c r="X1" s="8" t="s">
        <v>56</v>
      </c>
      <c r="Y1" s="8" t="s">
        <v>57</v>
      </c>
      <c r="Z1" s="8" t="s">
        <v>58</v>
      </c>
      <c r="AA1" s="10" t="s">
        <v>59</v>
      </c>
    </row>
    <row r="2" spans="1:27" ht="15.75" x14ac:dyDescent="0.25">
      <c r="A2" s="53" t="s">
        <v>60</v>
      </c>
      <c r="B2" s="54"/>
      <c r="C2" s="54"/>
      <c r="D2" s="54"/>
      <c r="E2" s="54"/>
      <c r="F2" s="54"/>
      <c r="G2" s="54"/>
      <c r="H2" s="54"/>
      <c r="I2" s="54"/>
      <c r="J2" s="54"/>
      <c r="K2" s="54"/>
      <c r="L2" s="54"/>
      <c r="M2" s="54"/>
      <c r="N2" s="54"/>
      <c r="O2" s="54"/>
      <c r="P2" s="54"/>
      <c r="Q2" s="54"/>
      <c r="R2" s="54"/>
      <c r="S2" s="54"/>
      <c r="T2" s="54"/>
      <c r="U2" s="54"/>
      <c r="V2" s="54"/>
      <c r="W2" s="54"/>
      <c r="X2" s="54"/>
      <c r="Y2" s="54"/>
      <c r="Z2" s="54"/>
      <c r="AA2" s="55"/>
    </row>
    <row r="3" spans="1:27" ht="45" x14ac:dyDescent="0.25">
      <c r="A3" s="11" t="s">
        <v>1198</v>
      </c>
      <c r="B3" s="12" t="s">
        <v>1199</v>
      </c>
      <c r="C3" s="11" t="s">
        <v>1200</v>
      </c>
      <c r="D3" s="11" t="s">
        <v>1201</v>
      </c>
      <c r="E3" s="11" t="s">
        <v>1202</v>
      </c>
      <c r="F3" s="11" t="s">
        <v>66</v>
      </c>
      <c r="G3" s="11" t="s">
        <v>75</v>
      </c>
      <c r="H3" s="11"/>
      <c r="I3" s="11" t="s">
        <v>1203</v>
      </c>
      <c r="J3" s="11" t="s">
        <v>1204</v>
      </c>
      <c r="K3" s="11"/>
      <c r="L3" s="11" t="s">
        <v>70</v>
      </c>
      <c r="M3" s="11" t="s">
        <v>71</v>
      </c>
      <c r="N3" s="11" t="s">
        <v>72</v>
      </c>
      <c r="O3" s="11" t="s">
        <v>19</v>
      </c>
      <c r="P3" s="13"/>
      <c r="Q3" s="13"/>
      <c r="R3" s="13"/>
      <c r="S3" s="13"/>
      <c r="T3" s="11" t="s">
        <v>19</v>
      </c>
      <c r="U3" s="13"/>
      <c r="V3" s="13"/>
      <c r="W3" s="13"/>
      <c r="X3" s="13"/>
      <c r="Y3" s="13"/>
      <c r="Z3" s="13"/>
      <c r="AA3" s="13"/>
    </row>
    <row r="4" spans="1:27" ht="30" x14ac:dyDescent="0.25">
      <c r="A4" s="11" t="s">
        <v>1205</v>
      </c>
      <c r="B4" s="12" t="s">
        <v>1199</v>
      </c>
      <c r="C4" s="11" t="s">
        <v>1200</v>
      </c>
      <c r="D4" s="11" t="s">
        <v>1201</v>
      </c>
      <c r="E4" s="11" t="s">
        <v>1206</v>
      </c>
      <c r="F4" s="11" t="s">
        <v>66</v>
      </c>
      <c r="G4" s="11" t="s">
        <v>75</v>
      </c>
      <c r="H4" s="11"/>
      <c r="I4" s="11" t="s">
        <v>1207</v>
      </c>
      <c r="J4" s="11" t="s">
        <v>1208</v>
      </c>
      <c r="K4" s="11"/>
      <c r="L4" s="11" t="s">
        <v>70</v>
      </c>
      <c r="M4" s="11" t="s">
        <v>71</v>
      </c>
      <c r="N4" s="11" t="s">
        <v>72</v>
      </c>
      <c r="O4" s="11" t="s">
        <v>19</v>
      </c>
      <c r="P4" s="13"/>
      <c r="Q4" s="13"/>
      <c r="R4" s="13"/>
      <c r="S4" s="13"/>
      <c r="T4" s="11" t="s">
        <v>19</v>
      </c>
      <c r="U4" s="13"/>
      <c r="V4" s="13"/>
      <c r="W4" s="13"/>
      <c r="X4" s="13"/>
      <c r="Y4" s="13"/>
      <c r="Z4" s="13"/>
      <c r="AA4" s="13"/>
    </row>
    <row r="5" spans="1:27" ht="75" x14ac:dyDescent="0.25">
      <c r="A5" s="11" t="s">
        <v>1209</v>
      </c>
      <c r="B5" s="12" t="s">
        <v>1199</v>
      </c>
      <c r="C5" s="11" t="s">
        <v>411</v>
      </c>
      <c r="D5" s="11" t="s">
        <v>412</v>
      </c>
      <c r="E5" s="11" t="s">
        <v>1210</v>
      </c>
      <c r="F5" s="11" t="s">
        <v>66</v>
      </c>
      <c r="G5" s="11" t="s">
        <v>75</v>
      </c>
      <c r="H5" s="11"/>
      <c r="I5" s="11" t="s">
        <v>1211</v>
      </c>
      <c r="J5" s="11" t="s">
        <v>1212</v>
      </c>
      <c r="K5" s="11"/>
      <c r="L5" s="11" t="s">
        <v>70</v>
      </c>
      <c r="M5" s="11" t="s">
        <v>71</v>
      </c>
      <c r="N5" s="11" t="s">
        <v>72</v>
      </c>
      <c r="O5" s="11" t="s">
        <v>19</v>
      </c>
      <c r="P5" s="13"/>
      <c r="Q5" s="13"/>
      <c r="R5" s="13"/>
      <c r="S5" s="13"/>
      <c r="T5" s="11" t="s">
        <v>19</v>
      </c>
      <c r="U5" s="13"/>
      <c r="V5" s="13"/>
      <c r="W5" s="13"/>
      <c r="X5" s="13"/>
      <c r="Y5" s="13"/>
      <c r="Z5" s="13"/>
      <c r="AA5" s="13"/>
    </row>
    <row r="6" spans="1:27" ht="60" x14ac:dyDescent="0.25">
      <c r="A6" s="11" t="s">
        <v>1213</v>
      </c>
      <c r="B6" s="12" t="s">
        <v>1199</v>
      </c>
      <c r="C6" s="11" t="s">
        <v>411</v>
      </c>
      <c r="D6" s="11" t="s">
        <v>412</v>
      </c>
      <c r="E6" s="11" t="s">
        <v>1214</v>
      </c>
      <c r="F6" s="11" t="s">
        <v>66</v>
      </c>
      <c r="G6" s="11" t="s">
        <v>75</v>
      </c>
      <c r="H6" s="11"/>
      <c r="I6" s="11" t="s">
        <v>1215</v>
      </c>
      <c r="J6" s="11" t="s">
        <v>1216</v>
      </c>
      <c r="K6" s="11"/>
      <c r="L6" s="11" t="s">
        <v>70</v>
      </c>
      <c r="M6" s="11" t="s">
        <v>71</v>
      </c>
      <c r="N6" s="11" t="s">
        <v>72</v>
      </c>
      <c r="O6" s="11" t="s">
        <v>19</v>
      </c>
      <c r="P6" s="13"/>
      <c r="Q6" s="13"/>
      <c r="R6" s="13"/>
      <c r="S6" s="13"/>
      <c r="T6" s="11" t="s">
        <v>19</v>
      </c>
      <c r="U6" s="13"/>
      <c r="V6" s="13"/>
      <c r="W6" s="13"/>
      <c r="X6" s="13"/>
      <c r="Y6" s="13"/>
      <c r="Z6" s="13"/>
      <c r="AA6" s="13"/>
    </row>
    <row r="7" spans="1:27" ht="45" x14ac:dyDescent="0.25">
      <c r="A7" s="11" t="s">
        <v>1217</v>
      </c>
      <c r="B7" s="12" t="s">
        <v>1199</v>
      </c>
      <c r="C7" s="11" t="s">
        <v>411</v>
      </c>
      <c r="D7" s="11" t="s">
        <v>412</v>
      </c>
      <c r="E7" s="11" t="s">
        <v>1218</v>
      </c>
      <c r="F7" s="11" t="s">
        <v>66</v>
      </c>
      <c r="G7" s="11" t="s">
        <v>94</v>
      </c>
      <c r="H7" s="11"/>
      <c r="I7" s="11" t="s">
        <v>1219</v>
      </c>
      <c r="J7" s="11" t="s">
        <v>1220</v>
      </c>
      <c r="K7" s="11"/>
      <c r="L7" s="11" t="s">
        <v>70</v>
      </c>
      <c r="M7" s="11" t="s">
        <v>71</v>
      </c>
      <c r="N7" s="11" t="s">
        <v>72</v>
      </c>
      <c r="O7" s="11" t="s">
        <v>19</v>
      </c>
      <c r="P7" s="13"/>
      <c r="Q7" s="13"/>
      <c r="R7" s="13"/>
      <c r="S7" s="13"/>
      <c r="T7" s="11" t="s">
        <v>19</v>
      </c>
      <c r="U7" s="13"/>
      <c r="V7" s="13"/>
      <c r="W7" s="13"/>
      <c r="X7" s="13"/>
      <c r="Y7" s="13"/>
      <c r="Z7" s="13"/>
      <c r="AA7" s="13"/>
    </row>
    <row r="8" spans="1:27" ht="30" x14ac:dyDescent="0.25">
      <c r="A8" s="11" t="s">
        <v>1221</v>
      </c>
      <c r="B8" s="12" t="s">
        <v>1222</v>
      </c>
      <c r="C8" s="11" t="s">
        <v>1223</v>
      </c>
      <c r="D8" s="11" t="s">
        <v>1224</v>
      </c>
      <c r="E8" s="11" t="s">
        <v>1225</v>
      </c>
      <c r="F8" s="11" t="s">
        <v>66</v>
      </c>
      <c r="G8" s="11" t="s">
        <v>75</v>
      </c>
      <c r="H8" s="11"/>
      <c r="I8" s="11" t="s">
        <v>1226</v>
      </c>
      <c r="J8" s="11" t="s">
        <v>1227</v>
      </c>
      <c r="K8" s="11"/>
      <c r="L8" s="11" t="s">
        <v>70</v>
      </c>
      <c r="M8" s="11" t="s">
        <v>71</v>
      </c>
      <c r="N8" s="11" t="s">
        <v>72</v>
      </c>
      <c r="O8" s="11" t="s">
        <v>19</v>
      </c>
      <c r="P8" s="13"/>
      <c r="Q8" s="13"/>
      <c r="R8" s="13"/>
      <c r="S8" s="13"/>
      <c r="T8" s="11" t="s">
        <v>19</v>
      </c>
      <c r="U8" s="13"/>
      <c r="V8" s="13"/>
      <c r="W8" s="13"/>
      <c r="X8" s="13"/>
      <c r="Y8" s="13"/>
      <c r="Z8" s="13"/>
      <c r="AA8" s="13"/>
    </row>
    <row r="9" spans="1:27" ht="60" x14ac:dyDescent="0.25">
      <c r="A9" s="11" t="s">
        <v>1228</v>
      </c>
      <c r="B9" s="12" t="s">
        <v>1222</v>
      </c>
      <c r="C9" s="11" t="s">
        <v>1229</v>
      </c>
      <c r="D9" s="11" t="s">
        <v>1224</v>
      </c>
      <c r="E9" s="11" t="s">
        <v>1230</v>
      </c>
      <c r="F9" s="11" t="s">
        <v>66</v>
      </c>
      <c r="G9" s="11" t="s">
        <v>94</v>
      </c>
      <c r="H9" s="11"/>
      <c r="I9" s="11" t="s">
        <v>1231</v>
      </c>
      <c r="J9" s="11" t="s">
        <v>1232</v>
      </c>
      <c r="K9" s="11"/>
      <c r="L9" s="11" t="s">
        <v>70</v>
      </c>
      <c r="M9" s="11" t="s">
        <v>71</v>
      </c>
      <c r="N9" s="11" t="s">
        <v>72</v>
      </c>
      <c r="O9" s="11" t="s">
        <v>19</v>
      </c>
      <c r="P9" s="13"/>
      <c r="Q9" s="13"/>
      <c r="R9" s="13"/>
      <c r="S9" s="13"/>
      <c r="T9" s="11" t="s">
        <v>19</v>
      </c>
      <c r="U9" s="13"/>
      <c r="V9" s="13"/>
      <c r="W9" s="13"/>
      <c r="X9" s="13"/>
      <c r="Y9" s="13"/>
      <c r="Z9" s="13"/>
      <c r="AA9" s="13"/>
    </row>
    <row r="10" spans="1:27" ht="30" x14ac:dyDescent="0.25">
      <c r="A10" s="11" t="s">
        <v>1233</v>
      </c>
      <c r="B10" s="12" t="s">
        <v>1222</v>
      </c>
      <c r="C10" s="11" t="s">
        <v>1229</v>
      </c>
      <c r="D10" s="11" t="s">
        <v>1224</v>
      </c>
      <c r="E10" s="11" t="s">
        <v>1234</v>
      </c>
      <c r="F10" s="11" t="s">
        <v>66</v>
      </c>
      <c r="G10" s="11" t="s">
        <v>94</v>
      </c>
      <c r="H10" s="11"/>
      <c r="I10" s="11" t="s">
        <v>1235</v>
      </c>
      <c r="J10" s="11" t="s">
        <v>1236</v>
      </c>
      <c r="K10" s="11"/>
      <c r="L10" s="11" t="s">
        <v>70</v>
      </c>
      <c r="M10" s="11" t="s">
        <v>71</v>
      </c>
      <c r="N10" s="11" t="s">
        <v>72</v>
      </c>
      <c r="O10" s="11" t="s">
        <v>19</v>
      </c>
      <c r="P10" s="13"/>
      <c r="Q10" s="13"/>
      <c r="R10" s="13"/>
      <c r="S10" s="13"/>
      <c r="T10" s="11" t="s">
        <v>19</v>
      </c>
      <c r="U10" s="13"/>
      <c r="V10" s="13"/>
      <c r="W10" s="13"/>
      <c r="X10" s="13"/>
      <c r="Y10" s="13"/>
      <c r="Z10" s="13"/>
      <c r="AA10" s="13"/>
    </row>
    <row r="11" spans="1:27" ht="15.75" x14ac:dyDescent="0.25">
      <c r="A11" s="53" t="s">
        <v>203</v>
      </c>
      <c r="B11" s="54"/>
      <c r="C11" s="54"/>
      <c r="D11" s="54"/>
      <c r="E11" s="54"/>
      <c r="F11" s="54"/>
      <c r="G11" s="54"/>
      <c r="H11" s="54"/>
      <c r="I11" s="54"/>
      <c r="J11" s="54"/>
      <c r="K11" s="54"/>
      <c r="L11" s="54"/>
      <c r="M11" s="54"/>
      <c r="N11" s="54"/>
      <c r="O11" s="54"/>
      <c r="P11" s="54"/>
      <c r="Q11" s="54"/>
      <c r="R11" s="54"/>
      <c r="S11" s="54"/>
      <c r="T11" s="54"/>
      <c r="U11" s="54"/>
      <c r="V11" s="54"/>
      <c r="W11" s="54"/>
      <c r="X11" s="54"/>
      <c r="Y11" s="54"/>
      <c r="Z11" s="54"/>
      <c r="AA11" s="55"/>
    </row>
    <row r="12" spans="1:27" ht="45" x14ac:dyDescent="0.25">
      <c r="A12" s="11" t="s">
        <v>1237</v>
      </c>
      <c r="B12" s="12" t="s">
        <v>1199</v>
      </c>
      <c r="C12" s="11" t="s">
        <v>1200</v>
      </c>
      <c r="D12" s="11" t="s">
        <v>1238</v>
      </c>
      <c r="E12" s="11" t="s">
        <v>1239</v>
      </c>
      <c r="F12" s="11" t="s">
        <v>206</v>
      </c>
      <c r="G12" s="11" t="s">
        <v>67</v>
      </c>
      <c r="H12" s="11"/>
      <c r="I12" s="11" t="s">
        <v>1240</v>
      </c>
      <c r="J12" s="11" t="s">
        <v>1241</v>
      </c>
      <c r="K12" s="11"/>
      <c r="L12" s="11" t="s">
        <v>70</v>
      </c>
      <c r="M12" s="11" t="s">
        <v>71</v>
      </c>
      <c r="N12" s="11" t="s">
        <v>72</v>
      </c>
      <c r="O12" s="11" t="s">
        <v>19</v>
      </c>
      <c r="P12" s="13"/>
      <c r="Q12" s="13"/>
      <c r="R12" s="13"/>
      <c r="S12" s="13"/>
      <c r="T12" s="11" t="s">
        <v>19</v>
      </c>
      <c r="U12" s="13"/>
      <c r="V12" s="13"/>
      <c r="W12" s="13"/>
      <c r="X12" s="13"/>
      <c r="Y12" s="13"/>
      <c r="Z12" s="13"/>
      <c r="AA12" s="13"/>
    </row>
    <row r="13" spans="1:27" ht="45" x14ac:dyDescent="0.25">
      <c r="A13" s="11" t="s">
        <v>1242</v>
      </c>
      <c r="B13" s="12" t="s">
        <v>1199</v>
      </c>
      <c r="C13" s="11" t="s">
        <v>1200</v>
      </c>
      <c r="D13" s="11" t="s">
        <v>1238</v>
      </c>
      <c r="E13" s="11" t="s">
        <v>1243</v>
      </c>
      <c r="F13" s="11" t="s">
        <v>206</v>
      </c>
      <c r="G13" s="11" t="s">
        <v>67</v>
      </c>
      <c r="H13" s="11"/>
      <c r="I13" s="11" t="s">
        <v>1244</v>
      </c>
      <c r="J13" s="11" t="s">
        <v>1245</v>
      </c>
      <c r="K13" s="11"/>
      <c r="L13" s="11" t="s">
        <v>70</v>
      </c>
      <c r="M13" s="11" t="s">
        <v>71</v>
      </c>
      <c r="N13" s="11" t="s">
        <v>72</v>
      </c>
      <c r="O13" s="11" t="s">
        <v>19</v>
      </c>
      <c r="P13" s="13"/>
      <c r="Q13" s="13"/>
      <c r="R13" s="13"/>
      <c r="S13" s="13"/>
      <c r="T13" s="11" t="s">
        <v>19</v>
      </c>
      <c r="U13" s="13"/>
      <c r="V13" s="13"/>
      <c r="W13" s="13"/>
      <c r="X13" s="13"/>
      <c r="Y13" s="13"/>
      <c r="Z13" s="13"/>
      <c r="AA13" s="13"/>
    </row>
    <row r="14" spans="1:27" ht="45" x14ac:dyDescent="0.25">
      <c r="A14" s="11" t="s">
        <v>1246</v>
      </c>
      <c r="B14" s="12" t="s">
        <v>1199</v>
      </c>
      <c r="C14" s="11" t="s">
        <v>1200</v>
      </c>
      <c r="D14" s="11" t="s">
        <v>1238</v>
      </c>
      <c r="E14" s="11" t="s">
        <v>1247</v>
      </c>
      <c r="F14" s="11" t="s">
        <v>587</v>
      </c>
      <c r="G14" s="11" t="s">
        <v>75</v>
      </c>
      <c r="H14" s="11"/>
      <c r="I14" s="11" t="s">
        <v>1248</v>
      </c>
      <c r="J14" s="11" t="s">
        <v>1249</v>
      </c>
      <c r="K14" s="11"/>
      <c r="L14" s="11" t="s">
        <v>70</v>
      </c>
      <c r="M14" s="11" t="s">
        <v>71</v>
      </c>
      <c r="N14" s="11" t="s">
        <v>72</v>
      </c>
      <c r="O14" s="11" t="s">
        <v>19</v>
      </c>
      <c r="P14" s="13"/>
      <c r="Q14" s="13"/>
      <c r="R14" s="13"/>
      <c r="S14" s="13"/>
      <c r="T14" s="11" t="s">
        <v>19</v>
      </c>
      <c r="U14" s="13"/>
      <c r="V14" s="13"/>
      <c r="W14" s="13"/>
      <c r="X14" s="13"/>
      <c r="Y14" s="13"/>
      <c r="Z14" s="13"/>
      <c r="AA14" s="13"/>
    </row>
    <row r="15" spans="1:27" ht="30" x14ac:dyDescent="0.25">
      <c r="A15" s="11" t="s">
        <v>1250</v>
      </c>
      <c r="B15" s="12" t="s">
        <v>1199</v>
      </c>
      <c r="C15" s="11" t="s">
        <v>1251</v>
      </c>
      <c r="D15" s="11" t="s">
        <v>1252</v>
      </c>
      <c r="E15" s="11" t="s">
        <v>1253</v>
      </c>
      <c r="F15" s="11" t="s">
        <v>206</v>
      </c>
      <c r="G15" s="11" t="s">
        <v>67</v>
      </c>
      <c r="H15" s="11"/>
      <c r="I15" s="11" t="s">
        <v>1254</v>
      </c>
      <c r="J15" s="11" t="s">
        <v>1255</v>
      </c>
      <c r="K15" s="11"/>
      <c r="L15" s="11" t="s">
        <v>70</v>
      </c>
      <c r="M15" s="11" t="s">
        <v>71</v>
      </c>
      <c r="N15" s="11" t="s">
        <v>72</v>
      </c>
      <c r="O15" s="11" t="s">
        <v>19</v>
      </c>
      <c r="P15" s="13"/>
      <c r="Q15" s="13"/>
      <c r="R15" s="13"/>
      <c r="S15" s="13"/>
      <c r="T15" s="11" t="s">
        <v>19</v>
      </c>
      <c r="U15" s="13"/>
      <c r="V15" s="13"/>
      <c r="W15" s="13"/>
      <c r="X15" s="13"/>
      <c r="Y15" s="13"/>
      <c r="Z15" s="13"/>
      <c r="AA15" s="13"/>
    </row>
    <row r="16" spans="1:27" ht="30" x14ac:dyDescent="0.25">
      <c r="A16" s="11" t="s">
        <v>1256</v>
      </c>
      <c r="B16" s="12" t="s">
        <v>1199</v>
      </c>
      <c r="C16" s="11" t="s">
        <v>1251</v>
      </c>
      <c r="D16" s="11" t="s">
        <v>1252</v>
      </c>
      <c r="E16" s="11" t="s">
        <v>1257</v>
      </c>
      <c r="F16" s="11" t="s">
        <v>206</v>
      </c>
      <c r="G16" s="11" t="s">
        <v>67</v>
      </c>
      <c r="H16" s="11"/>
      <c r="I16" s="11" t="s">
        <v>1258</v>
      </c>
      <c r="J16" s="11" t="s">
        <v>1259</v>
      </c>
      <c r="K16" s="11"/>
      <c r="L16" s="11" t="s">
        <v>70</v>
      </c>
      <c r="M16" s="11" t="s">
        <v>71</v>
      </c>
      <c r="N16" s="11" t="s">
        <v>72</v>
      </c>
      <c r="O16" s="11" t="s">
        <v>19</v>
      </c>
      <c r="P16" s="13"/>
      <c r="Q16" s="13"/>
      <c r="R16" s="13"/>
      <c r="S16" s="13"/>
      <c r="T16" s="11" t="s">
        <v>19</v>
      </c>
      <c r="U16" s="13"/>
      <c r="V16" s="13"/>
      <c r="W16" s="13"/>
      <c r="X16" s="13"/>
      <c r="Y16" s="13"/>
      <c r="Z16" s="13"/>
      <c r="AA16" s="13"/>
    </row>
    <row r="17" spans="1:27" ht="45" x14ac:dyDescent="0.25">
      <c r="A17" s="11" t="s">
        <v>1260</v>
      </c>
      <c r="B17" s="12" t="s">
        <v>1199</v>
      </c>
      <c r="C17" s="11" t="s">
        <v>1251</v>
      </c>
      <c r="D17" s="11" t="s">
        <v>1252</v>
      </c>
      <c r="E17" s="11" t="s">
        <v>1261</v>
      </c>
      <c r="F17" s="11" t="s">
        <v>587</v>
      </c>
      <c r="G17" s="11" t="s">
        <v>75</v>
      </c>
      <c r="H17" s="11"/>
      <c r="I17" s="11" t="s">
        <v>1262</v>
      </c>
      <c r="J17" s="11" t="s">
        <v>1263</v>
      </c>
      <c r="K17" s="11"/>
      <c r="L17" s="11" t="s">
        <v>70</v>
      </c>
      <c r="M17" s="11" t="s">
        <v>71</v>
      </c>
      <c r="N17" s="11" t="s">
        <v>72</v>
      </c>
      <c r="O17" s="11" t="s">
        <v>19</v>
      </c>
      <c r="P17" s="13"/>
      <c r="Q17" s="13"/>
      <c r="R17" s="13"/>
      <c r="S17" s="13"/>
      <c r="T17" s="11" t="s">
        <v>19</v>
      </c>
      <c r="U17" s="13"/>
      <c r="V17" s="13"/>
      <c r="W17" s="13"/>
      <c r="X17" s="13"/>
      <c r="Y17" s="13"/>
      <c r="Z17" s="13"/>
      <c r="AA17" s="13"/>
    </row>
    <row r="18" spans="1:27" ht="30" x14ac:dyDescent="0.25">
      <c r="A18" s="11" t="s">
        <v>1264</v>
      </c>
      <c r="B18" s="12" t="s">
        <v>1199</v>
      </c>
      <c r="C18" s="11" t="s">
        <v>1265</v>
      </c>
      <c r="D18" s="11" t="s">
        <v>1266</v>
      </c>
      <c r="E18" s="11" t="s">
        <v>1267</v>
      </c>
      <c r="F18" s="11" t="s">
        <v>206</v>
      </c>
      <c r="G18" s="11" t="s">
        <v>67</v>
      </c>
      <c r="H18" s="11"/>
      <c r="I18" s="11" t="s">
        <v>1268</v>
      </c>
      <c r="J18" s="11" t="s">
        <v>1269</v>
      </c>
      <c r="K18" s="11"/>
      <c r="L18" s="11" t="s">
        <v>70</v>
      </c>
      <c r="M18" s="11" t="s">
        <v>71</v>
      </c>
      <c r="N18" s="11" t="s">
        <v>72</v>
      </c>
      <c r="O18" s="11" t="s">
        <v>19</v>
      </c>
      <c r="P18" s="13"/>
      <c r="Q18" s="13"/>
      <c r="R18" s="13"/>
      <c r="S18" s="13"/>
      <c r="T18" s="11" t="s">
        <v>19</v>
      </c>
      <c r="U18" s="13"/>
      <c r="V18" s="13"/>
      <c r="W18" s="13"/>
      <c r="X18" s="13"/>
      <c r="Y18" s="13"/>
      <c r="Z18" s="13"/>
      <c r="AA18" s="13"/>
    </row>
    <row r="19" spans="1:27" ht="60" x14ac:dyDescent="0.25">
      <c r="A19" s="11" t="s">
        <v>1270</v>
      </c>
      <c r="B19" s="12" t="s">
        <v>1199</v>
      </c>
      <c r="C19" s="11" t="s">
        <v>411</v>
      </c>
      <c r="D19" s="11" t="s">
        <v>412</v>
      </c>
      <c r="E19" s="11" t="s">
        <v>1271</v>
      </c>
      <c r="F19" s="11" t="s">
        <v>206</v>
      </c>
      <c r="G19" s="11" t="s">
        <v>67</v>
      </c>
      <c r="H19" s="11"/>
      <c r="I19" s="11" t="s">
        <v>1272</v>
      </c>
      <c r="J19" s="11" t="s">
        <v>1273</v>
      </c>
      <c r="K19" s="11"/>
      <c r="L19" s="11" t="s">
        <v>70</v>
      </c>
      <c r="M19" s="11" t="s">
        <v>71</v>
      </c>
      <c r="N19" s="11" t="s">
        <v>72</v>
      </c>
      <c r="O19" s="11" t="s">
        <v>19</v>
      </c>
      <c r="P19" s="13"/>
      <c r="Q19" s="13"/>
      <c r="R19" s="13"/>
      <c r="S19" s="13"/>
      <c r="T19" s="11" t="s">
        <v>19</v>
      </c>
      <c r="U19" s="13"/>
      <c r="V19" s="13"/>
      <c r="W19" s="13"/>
      <c r="X19" s="13"/>
      <c r="Y19" s="13"/>
      <c r="Z19" s="13"/>
      <c r="AA19" s="13"/>
    </row>
    <row r="20" spans="1:27" ht="45" x14ac:dyDescent="0.25">
      <c r="A20" s="11" t="s">
        <v>1274</v>
      </c>
      <c r="B20" s="12" t="s">
        <v>1199</v>
      </c>
      <c r="C20" s="11" t="s">
        <v>411</v>
      </c>
      <c r="D20" s="11" t="s">
        <v>412</v>
      </c>
      <c r="E20" s="11" t="s">
        <v>1275</v>
      </c>
      <c r="F20" s="11" t="s">
        <v>206</v>
      </c>
      <c r="G20" s="11" t="s">
        <v>67</v>
      </c>
      <c r="H20" s="11" t="s">
        <v>1276</v>
      </c>
      <c r="I20" s="11" t="s">
        <v>1277</v>
      </c>
      <c r="J20" s="11" t="s">
        <v>1278</v>
      </c>
      <c r="K20" s="11"/>
      <c r="L20" s="11" t="s">
        <v>70</v>
      </c>
      <c r="M20" s="11" t="s">
        <v>71</v>
      </c>
      <c r="N20" s="11" t="s">
        <v>72</v>
      </c>
      <c r="O20" s="11" t="s">
        <v>19</v>
      </c>
      <c r="P20" s="13"/>
      <c r="Q20" s="13"/>
      <c r="R20" s="13"/>
      <c r="S20" s="13"/>
      <c r="T20" s="11" t="s">
        <v>19</v>
      </c>
      <c r="U20" s="13"/>
      <c r="V20" s="13"/>
      <c r="W20" s="13"/>
      <c r="X20" s="13"/>
      <c r="Y20" s="13"/>
      <c r="Z20" s="13"/>
      <c r="AA20" s="13"/>
    </row>
    <row r="21" spans="1:27" ht="30" x14ac:dyDescent="0.25">
      <c r="A21" s="11" t="s">
        <v>1279</v>
      </c>
      <c r="B21" s="12" t="s">
        <v>1222</v>
      </c>
      <c r="C21" s="11" t="s">
        <v>1280</v>
      </c>
      <c r="D21" s="11" t="s">
        <v>1281</v>
      </c>
      <c r="E21" s="11" t="s">
        <v>1282</v>
      </c>
      <c r="F21" s="11" t="s">
        <v>587</v>
      </c>
      <c r="G21" s="11" t="s">
        <v>75</v>
      </c>
      <c r="H21" s="11"/>
      <c r="I21" s="11" t="s">
        <v>1283</v>
      </c>
      <c r="J21" s="11" t="s">
        <v>1284</v>
      </c>
      <c r="K21" s="11"/>
      <c r="L21" s="11" t="s">
        <v>70</v>
      </c>
      <c r="M21" s="11" t="s">
        <v>71</v>
      </c>
      <c r="N21" s="11" t="s">
        <v>72</v>
      </c>
      <c r="O21" s="11" t="s">
        <v>19</v>
      </c>
      <c r="P21" s="13"/>
      <c r="Q21" s="13"/>
      <c r="R21" s="13"/>
      <c r="S21" s="13"/>
      <c r="T21" s="11" t="s">
        <v>19</v>
      </c>
      <c r="U21" s="13"/>
      <c r="V21" s="13"/>
      <c r="W21" s="13"/>
      <c r="X21" s="13"/>
      <c r="Y21" s="13"/>
      <c r="Z21" s="13"/>
      <c r="AA21" s="13"/>
    </row>
    <row r="22" spans="1:27" ht="30" x14ac:dyDescent="0.25">
      <c r="A22" s="11" t="s">
        <v>1285</v>
      </c>
      <c r="B22" s="12" t="s">
        <v>1222</v>
      </c>
      <c r="C22" s="11" t="s">
        <v>1286</v>
      </c>
      <c r="D22" s="11" t="s">
        <v>1287</v>
      </c>
      <c r="E22" s="11" t="s">
        <v>1288</v>
      </c>
      <c r="F22" s="11" t="s">
        <v>206</v>
      </c>
      <c r="G22" s="11" t="s">
        <v>67</v>
      </c>
      <c r="H22" s="11"/>
      <c r="I22" s="11" t="s">
        <v>1289</v>
      </c>
      <c r="J22" s="11" t="s">
        <v>1290</v>
      </c>
      <c r="K22" s="11"/>
      <c r="L22" s="11" t="s">
        <v>70</v>
      </c>
      <c r="M22" s="11" t="s">
        <v>71</v>
      </c>
      <c r="N22" s="11" t="s">
        <v>72</v>
      </c>
      <c r="O22" s="11" t="s">
        <v>19</v>
      </c>
      <c r="P22" s="13"/>
      <c r="Q22" s="13"/>
      <c r="R22" s="13"/>
      <c r="S22" s="13"/>
      <c r="T22" s="11" t="s">
        <v>19</v>
      </c>
      <c r="U22" s="13"/>
      <c r="V22" s="13"/>
      <c r="W22" s="13"/>
      <c r="X22" s="13"/>
      <c r="Y22" s="13"/>
      <c r="Z22" s="13"/>
      <c r="AA22" s="13"/>
    </row>
    <row r="23" spans="1:27" ht="15.75" x14ac:dyDescent="0.25">
      <c r="A23" s="53" t="s">
        <v>234</v>
      </c>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5"/>
    </row>
    <row r="24" spans="1:27" ht="60" x14ac:dyDescent="0.25">
      <c r="A24" s="11" t="s">
        <v>1291</v>
      </c>
      <c r="B24" s="12" t="s">
        <v>1199</v>
      </c>
      <c r="C24" s="11" t="s">
        <v>1200</v>
      </c>
      <c r="D24" s="11" t="s">
        <v>1238</v>
      </c>
      <c r="E24" s="11" t="s">
        <v>1292</v>
      </c>
      <c r="F24" s="11" t="s">
        <v>237</v>
      </c>
      <c r="G24" s="11" t="s">
        <v>67</v>
      </c>
      <c r="H24" s="11"/>
      <c r="I24" s="11" t="s">
        <v>1293</v>
      </c>
      <c r="J24" s="11" t="s">
        <v>1294</v>
      </c>
      <c r="K24" s="11"/>
      <c r="L24" s="11" t="s">
        <v>70</v>
      </c>
      <c r="M24" s="11" t="s">
        <v>71</v>
      </c>
      <c r="N24" s="11" t="s">
        <v>72</v>
      </c>
      <c r="O24" s="11" t="s">
        <v>19</v>
      </c>
      <c r="P24" s="13"/>
      <c r="Q24" s="13"/>
      <c r="R24" s="13"/>
      <c r="S24" s="13"/>
      <c r="T24" s="11" t="s">
        <v>19</v>
      </c>
      <c r="U24" s="13"/>
      <c r="V24" s="13"/>
      <c r="W24" s="13"/>
      <c r="X24" s="13"/>
      <c r="Y24" s="13"/>
      <c r="Z24" s="13"/>
      <c r="AA24" s="13"/>
    </row>
    <row r="25" spans="1:27" ht="30" x14ac:dyDescent="0.25">
      <c r="A25" s="11" t="s">
        <v>1295</v>
      </c>
      <c r="B25" s="12" t="s">
        <v>1199</v>
      </c>
      <c r="C25" s="11" t="s">
        <v>1200</v>
      </c>
      <c r="D25" s="11" t="s">
        <v>1238</v>
      </c>
      <c r="E25" s="11" t="s">
        <v>1296</v>
      </c>
      <c r="F25" s="11" t="s">
        <v>666</v>
      </c>
      <c r="G25" s="11" t="s">
        <v>75</v>
      </c>
      <c r="H25" s="11"/>
      <c r="I25" s="11" t="s">
        <v>1297</v>
      </c>
      <c r="J25" s="11" t="s">
        <v>1298</v>
      </c>
      <c r="K25" s="11"/>
      <c r="L25" s="11" t="s">
        <v>70</v>
      </c>
      <c r="M25" s="11" t="s">
        <v>71</v>
      </c>
      <c r="N25" s="11" t="s">
        <v>72</v>
      </c>
      <c r="O25" s="11" t="s">
        <v>19</v>
      </c>
      <c r="P25" s="13"/>
      <c r="Q25" s="13"/>
      <c r="R25" s="13"/>
      <c r="S25" s="13"/>
      <c r="T25" s="11" t="s">
        <v>19</v>
      </c>
      <c r="U25" s="13"/>
      <c r="V25" s="13"/>
      <c r="W25" s="13"/>
      <c r="X25" s="13"/>
      <c r="Y25" s="13"/>
      <c r="Z25" s="13"/>
      <c r="AA25" s="13"/>
    </row>
    <row r="26" spans="1:27" ht="30" x14ac:dyDescent="0.25">
      <c r="A26" s="11" t="s">
        <v>1299</v>
      </c>
      <c r="B26" s="12" t="s">
        <v>1199</v>
      </c>
      <c r="C26" s="11" t="s">
        <v>1300</v>
      </c>
      <c r="D26" s="11" t="s">
        <v>1301</v>
      </c>
      <c r="E26" s="11" t="s">
        <v>1302</v>
      </c>
      <c r="F26" s="11" t="s">
        <v>237</v>
      </c>
      <c r="G26" s="11" t="s">
        <v>75</v>
      </c>
      <c r="H26" s="11"/>
      <c r="I26" s="11" t="s">
        <v>1303</v>
      </c>
      <c r="J26" s="11" t="s">
        <v>1304</v>
      </c>
      <c r="K26" s="11"/>
      <c r="L26" s="11" t="s">
        <v>70</v>
      </c>
      <c r="M26" s="11" t="s">
        <v>71</v>
      </c>
      <c r="N26" s="11" t="s">
        <v>72</v>
      </c>
      <c r="O26" s="11" t="s">
        <v>19</v>
      </c>
      <c r="P26" s="13"/>
      <c r="Q26" s="13"/>
      <c r="R26" s="13"/>
      <c r="S26" s="13"/>
      <c r="T26" s="11" t="s">
        <v>19</v>
      </c>
      <c r="U26" s="13"/>
      <c r="V26" s="13"/>
      <c r="W26" s="13"/>
      <c r="X26" s="13"/>
      <c r="Y26" s="13"/>
      <c r="Z26" s="13"/>
      <c r="AA26" s="13"/>
    </row>
    <row r="27" spans="1:27" ht="30" x14ac:dyDescent="0.25">
      <c r="A27" s="11" t="s">
        <v>1305</v>
      </c>
      <c r="B27" s="12" t="s">
        <v>1199</v>
      </c>
      <c r="C27" s="11" t="s">
        <v>1265</v>
      </c>
      <c r="D27" s="11" t="s">
        <v>1266</v>
      </c>
      <c r="E27" s="11" t="s">
        <v>1306</v>
      </c>
      <c r="F27" s="11" t="s">
        <v>237</v>
      </c>
      <c r="G27" s="11" t="s">
        <v>67</v>
      </c>
      <c r="H27" s="11"/>
      <c r="I27" s="11" t="s">
        <v>1307</v>
      </c>
      <c r="J27" s="11" t="s">
        <v>1308</v>
      </c>
      <c r="K27" s="11"/>
      <c r="L27" s="11" t="s">
        <v>70</v>
      </c>
      <c r="M27" s="11" t="s">
        <v>71</v>
      </c>
      <c r="N27" s="11" t="s">
        <v>72</v>
      </c>
      <c r="O27" s="11" t="s">
        <v>19</v>
      </c>
      <c r="P27" s="13"/>
      <c r="Q27" s="13"/>
      <c r="R27" s="13"/>
      <c r="S27" s="13"/>
      <c r="T27" s="11" t="s">
        <v>19</v>
      </c>
      <c r="U27" s="13"/>
      <c r="V27" s="13"/>
      <c r="W27" s="13"/>
      <c r="X27" s="13"/>
      <c r="Y27" s="13"/>
      <c r="Z27" s="13"/>
      <c r="AA27" s="13"/>
    </row>
    <row r="28" spans="1:27" ht="60" x14ac:dyDescent="0.25">
      <c r="A28" s="11" t="s">
        <v>1309</v>
      </c>
      <c r="B28" s="12" t="s">
        <v>1199</v>
      </c>
      <c r="C28" s="11" t="s">
        <v>411</v>
      </c>
      <c r="D28" s="11" t="s">
        <v>412</v>
      </c>
      <c r="E28" s="11" t="s">
        <v>1310</v>
      </c>
      <c r="F28" s="11" t="s">
        <v>237</v>
      </c>
      <c r="G28" s="11" t="s">
        <v>67</v>
      </c>
      <c r="H28" s="11"/>
      <c r="I28" s="11" t="s">
        <v>1311</v>
      </c>
      <c r="J28" s="11" t="s">
        <v>1312</v>
      </c>
      <c r="K28" s="11"/>
      <c r="L28" s="11" t="s">
        <v>70</v>
      </c>
      <c r="M28" s="11" t="s">
        <v>71</v>
      </c>
      <c r="N28" s="11" t="s">
        <v>72</v>
      </c>
      <c r="O28" s="11" t="s">
        <v>19</v>
      </c>
      <c r="P28" s="13"/>
      <c r="Q28" s="13"/>
      <c r="R28" s="13"/>
      <c r="S28" s="13"/>
      <c r="T28" s="11" t="s">
        <v>19</v>
      </c>
      <c r="U28" s="13"/>
      <c r="V28" s="13"/>
      <c r="W28" s="13"/>
      <c r="X28" s="13"/>
      <c r="Y28" s="13"/>
      <c r="Z28" s="13"/>
      <c r="AA28" s="13"/>
    </row>
    <row r="29" spans="1:27" ht="45" x14ac:dyDescent="0.25">
      <c r="A29" s="11" t="s">
        <v>1313</v>
      </c>
      <c r="B29" s="12" t="s">
        <v>1199</v>
      </c>
      <c r="C29" s="11" t="s">
        <v>411</v>
      </c>
      <c r="D29" s="11" t="s">
        <v>412</v>
      </c>
      <c r="E29" s="11" t="s">
        <v>1314</v>
      </c>
      <c r="F29" s="11" t="s">
        <v>237</v>
      </c>
      <c r="G29" s="11" t="s">
        <v>75</v>
      </c>
      <c r="H29" s="11"/>
      <c r="I29" s="11" t="s">
        <v>1315</v>
      </c>
      <c r="J29" s="11" t="s">
        <v>1316</v>
      </c>
      <c r="K29" s="11"/>
      <c r="L29" s="11" t="s">
        <v>70</v>
      </c>
      <c r="M29" s="11" t="s">
        <v>71</v>
      </c>
      <c r="N29" s="11" t="s">
        <v>72</v>
      </c>
      <c r="O29" s="11" t="s">
        <v>19</v>
      </c>
      <c r="P29" s="13"/>
      <c r="Q29" s="13"/>
      <c r="R29" s="13"/>
      <c r="S29" s="13"/>
      <c r="T29" s="11" t="s">
        <v>19</v>
      </c>
      <c r="U29" s="13"/>
      <c r="V29" s="13"/>
      <c r="W29" s="13"/>
      <c r="X29" s="13"/>
      <c r="Y29" s="13"/>
      <c r="Z29" s="13"/>
      <c r="AA29" s="13"/>
    </row>
    <row r="30" spans="1:27" ht="45" x14ac:dyDescent="0.25">
      <c r="A30" s="11" t="s">
        <v>1317</v>
      </c>
      <c r="B30" s="12" t="s">
        <v>1199</v>
      </c>
      <c r="C30" s="11" t="s">
        <v>411</v>
      </c>
      <c r="D30" s="11" t="s">
        <v>412</v>
      </c>
      <c r="E30" s="11" t="s">
        <v>1318</v>
      </c>
      <c r="F30" s="11" t="s">
        <v>237</v>
      </c>
      <c r="G30" s="11" t="s">
        <v>75</v>
      </c>
      <c r="H30" s="11"/>
      <c r="I30" s="11" t="s">
        <v>1319</v>
      </c>
      <c r="J30" s="11" t="s">
        <v>1320</v>
      </c>
      <c r="K30" s="11"/>
      <c r="L30" s="11" t="s">
        <v>70</v>
      </c>
      <c r="M30" s="11" t="s">
        <v>71</v>
      </c>
      <c r="N30" s="11" t="s">
        <v>72</v>
      </c>
      <c r="O30" s="11" t="s">
        <v>19</v>
      </c>
      <c r="P30" s="13"/>
      <c r="Q30" s="13"/>
      <c r="R30" s="13"/>
      <c r="S30" s="13"/>
      <c r="T30" s="11" t="s">
        <v>19</v>
      </c>
      <c r="U30" s="13"/>
      <c r="V30" s="13"/>
      <c r="W30" s="13"/>
      <c r="X30" s="13"/>
      <c r="Y30" s="13"/>
      <c r="Z30" s="13"/>
      <c r="AA30" s="13"/>
    </row>
    <row r="31" spans="1:27" ht="45" x14ac:dyDescent="0.25">
      <c r="A31" s="11" t="s">
        <v>1321</v>
      </c>
      <c r="B31" s="12" t="s">
        <v>1199</v>
      </c>
      <c r="C31" s="11" t="s">
        <v>411</v>
      </c>
      <c r="D31" s="11" t="s">
        <v>412</v>
      </c>
      <c r="E31" s="11" t="s">
        <v>1322</v>
      </c>
      <c r="F31" s="11" t="s">
        <v>237</v>
      </c>
      <c r="G31" s="11" t="s">
        <v>75</v>
      </c>
      <c r="H31" s="11"/>
      <c r="I31" s="11" t="s">
        <v>1323</v>
      </c>
      <c r="J31" s="11" t="s">
        <v>1324</v>
      </c>
      <c r="K31" s="11"/>
      <c r="L31" s="11" t="s">
        <v>70</v>
      </c>
      <c r="M31" s="11" t="s">
        <v>71</v>
      </c>
      <c r="N31" s="11" t="s">
        <v>72</v>
      </c>
      <c r="O31" s="11" t="s">
        <v>19</v>
      </c>
      <c r="P31" s="13"/>
      <c r="Q31" s="13"/>
      <c r="R31" s="13"/>
      <c r="S31" s="13"/>
      <c r="T31" s="11" t="s">
        <v>19</v>
      </c>
      <c r="U31" s="13"/>
      <c r="V31" s="13"/>
      <c r="W31" s="13"/>
      <c r="X31" s="13"/>
      <c r="Y31" s="13"/>
      <c r="Z31" s="13"/>
      <c r="AA31" s="13"/>
    </row>
    <row r="32" spans="1:27" ht="30" x14ac:dyDescent="0.25">
      <c r="A32" s="11" t="s">
        <v>1325</v>
      </c>
      <c r="B32" s="12" t="s">
        <v>1199</v>
      </c>
      <c r="C32" s="11" t="s">
        <v>411</v>
      </c>
      <c r="D32" s="11" t="s">
        <v>412</v>
      </c>
      <c r="E32" s="11" t="s">
        <v>1326</v>
      </c>
      <c r="F32" s="11" t="s">
        <v>237</v>
      </c>
      <c r="G32" s="11" t="s">
        <v>75</v>
      </c>
      <c r="H32" s="11"/>
      <c r="I32" s="11" t="s">
        <v>1327</v>
      </c>
      <c r="J32" s="11" t="s">
        <v>1328</v>
      </c>
      <c r="K32" s="11"/>
      <c r="L32" s="11" t="s">
        <v>70</v>
      </c>
      <c r="M32" s="11" t="s">
        <v>71</v>
      </c>
      <c r="N32" s="11" t="s">
        <v>72</v>
      </c>
      <c r="O32" s="11" t="s">
        <v>19</v>
      </c>
      <c r="P32" s="13"/>
      <c r="Q32" s="13"/>
      <c r="R32" s="13"/>
      <c r="S32" s="13"/>
      <c r="T32" s="11" t="s">
        <v>19</v>
      </c>
      <c r="U32" s="13"/>
      <c r="V32" s="13"/>
      <c r="W32" s="13"/>
      <c r="X32" s="13"/>
      <c r="Y32" s="13"/>
      <c r="Z32" s="13"/>
      <c r="AA32" s="13"/>
    </row>
    <row r="33" spans="1:27" ht="30" x14ac:dyDescent="0.25">
      <c r="A33" s="11" t="s">
        <v>1329</v>
      </c>
      <c r="B33" s="12" t="s">
        <v>1199</v>
      </c>
      <c r="C33" s="11" t="s">
        <v>411</v>
      </c>
      <c r="D33" s="11" t="s">
        <v>412</v>
      </c>
      <c r="E33" s="11" t="s">
        <v>1330</v>
      </c>
      <c r="F33" s="11" t="s">
        <v>237</v>
      </c>
      <c r="G33" s="11" t="s">
        <v>75</v>
      </c>
      <c r="H33" s="11"/>
      <c r="I33" s="11" t="s">
        <v>1331</v>
      </c>
      <c r="J33" s="11" t="s">
        <v>1332</v>
      </c>
      <c r="K33" s="11"/>
      <c r="L33" s="11" t="s">
        <v>70</v>
      </c>
      <c r="M33" s="11" t="s">
        <v>71</v>
      </c>
      <c r="N33" s="11" t="s">
        <v>72</v>
      </c>
      <c r="O33" s="11" t="s">
        <v>19</v>
      </c>
      <c r="P33" s="13"/>
      <c r="Q33" s="13"/>
      <c r="R33" s="13"/>
      <c r="S33" s="13"/>
      <c r="T33" s="11" t="s">
        <v>19</v>
      </c>
      <c r="U33" s="13"/>
      <c r="V33" s="13"/>
      <c r="W33" s="13"/>
      <c r="X33" s="13"/>
      <c r="Y33" s="13"/>
      <c r="Z33" s="13"/>
      <c r="AA33" s="13"/>
    </row>
    <row r="34" spans="1:27" ht="30" x14ac:dyDescent="0.25">
      <c r="A34" s="11" t="s">
        <v>1333</v>
      </c>
      <c r="B34" s="12" t="s">
        <v>1199</v>
      </c>
      <c r="C34" s="11" t="s">
        <v>411</v>
      </c>
      <c r="D34" s="11" t="s">
        <v>412</v>
      </c>
      <c r="E34" s="11" t="s">
        <v>1334</v>
      </c>
      <c r="F34" s="11" t="s">
        <v>237</v>
      </c>
      <c r="G34" s="11" t="s">
        <v>75</v>
      </c>
      <c r="H34" s="11"/>
      <c r="I34" s="11" t="s">
        <v>1335</v>
      </c>
      <c r="J34" s="11" t="s">
        <v>1336</v>
      </c>
      <c r="K34" s="11"/>
      <c r="L34" s="11" t="s">
        <v>70</v>
      </c>
      <c r="M34" s="11" t="s">
        <v>71</v>
      </c>
      <c r="N34" s="11" t="s">
        <v>72</v>
      </c>
      <c r="O34" s="11" t="s">
        <v>19</v>
      </c>
      <c r="P34" s="13"/>
      <c r="Q34" s="13"/>
      <c r="R34" s="13"/>
      <c r="S34" s="13"/>
      <c r="T34" s="11" t="s">
        <v>19</v>
      </c>
      <c r="U34" s="13"/>
      <c r="V34" s="13"/>
      <c r="W34" s="13"/>
      <c r="X34" s="13"/>
      <c r="Y34" s="13"/>
      <c r="Z34" s="13"/>
      <c r="AA34" s="13"/>
    </row>
    <row r="35" spans="1:27" ht="45" x14ac:dyDescent="0.25">
      <c r="A35" s="11" t="s">
        <v>1337</v>
      </c>
      <c r="B35" s="12" t="s">
        <v>1222</v>
      </c>
      <c r="C35" s="11" t="s">
        <v>1280</v>
      </c>
      <c r="D35" s="11" t="s">
        <v>1281</v>
      </c>
      <c r="E35" s="11" t="s">
        <v>1338</v>
      </c>
      <c r="F35" s="11" t="s">
        <v>237</v>
      </c>
      <c r="G35" s="11" t="s">
        <v>67</v>
      </c>
      <c r="H35" s="11"/>
      <c r="I35" s="11" t="s">
        <v>1339</v>
      </c>
      <c r="J35" s="11" t="s">
        <v>1340</v>
      </c>
      <c r="K35" s="11"/>
      <c r="L35" s="11" t="s">
        <v>70</v>
      </c>
      <c r="M35" s="11" t="s">
        <v>71</v>
      </c>
      <c r="N35" s="11" t="s">
        <v>72</v>
      </c>
      <c r="O35" s="11" t="s">
        <v>19</v>
      </c>
      <c r="P35" s="13"/>
      <c r="Q35" s="13"/>
      <c r="R35" s="13"/>
      <c r="S35" s="13"/>
      <c r="T35" s="11" t="s">
        <v>19</v>
      </c>
      <c r="U35" s="13"/>
      <c r="V35" s="13"/>
      <c r="W35" s="13"/>
      <c r="X35" s="13"/>
      <c r="Y35" s="13"/>
      <c r="Z35" s="13"/>
      <c r="AA35" s="13"/>
    </row>
    <row r="36" spans="1:27" ht="45" x14ac:dyDescent="0.25">
      <c r="A36" s="11" t="s">
        <v>1341</v>
      </c>
      <c r="B36" s="12" t="s">
        <v>1222</v>
      </c>
      <c r="C36" s="11" t="s">
        <v>1280</v>
      </c>
      <c r="D36" s="11" t="s">
        <v>1281</v>
      </c>
      <c r="E36" s="11" t="s">
        <v>1342</v>
      </c>
      <c r="F36" s="11" t="s">
        <v>237</v>
      </c>
      <c r="G36" s="11" t="s">
        <v>75</v>
      </c>
      <c r="H36" s="11"/>
      <c r="I36" s="11" t="s">
        <v>1339</v>
      </c>
      <c r="J36" s="11" t="s">
        <v>1343</v>
      </c>
      <c r="K36" s="11"/>
      <c r="L36" s="11" t="s">
        <v>70</v>
      </c>
      <c r="M36" s="11" t="s">
        <v>71</v>
      </c>
      <c r="N36" s="11" t="s">
        <v>72</v>
      </c>
      <c r="O36" s="11" t="s">
        <v>19</v>
      </c>
      <c r="P36" s="13"/>
      <c r="Q36" s="13"/>
      <c r="R36" s="13"/>
      <c r="S36" s="13"/>
      <c r="T36" s="11" t="s">
        <v>19</v>
      </c>
      <c r="U36" s="13"/>
      <c r="V36" s="13"/>
      <c r="W36" s="13"/>
      <c r="X36" s="13"/>
      <c r="Y36" s="13"/>
      <c r="Z36" s="13"/>
      <c r="AA36" s="13"/>
    </row>
    <row r="37" spans="1:27" ht="30" x14ac:dyDescent="0.25">
      <c r="A37" s="11" t="s">
        <v>1344</v>
      </c>
      <c r="B37" s="12" t="s">
        <v>1222</v>
      </c>
      <c r="C37" s="11" t="s">
        <v>1223</v>
      </c>
      <c r="D37" s="11" t="s">
        <v>1345</v>
      </c>
      <c r="E37" s="11" t="s">
        <v>1346</v>
      </c>
      <c r="F37" s="11" t="s">
        <v>237</v>
      </c>
      <c r="G37" s="11" t="s">
        <v>67</v>
      </c>
      <c r="H37" s="11"/>
      <c r="I37" s="11" t="s">
        <v>1347</v>
      </c>
      <c r="J37" s="11" t="s">
        <v>1348</v>
      </c>
      <c r="K37" s="11"/>
      <c r="L37" s="11" t="s">
        <v>70</v>
      </c>
      <c r="M37" s="11" t="s">
        <v>71</v>
      </c>
      <c r="N37" s="11" t="s">
        <v>72</v>
      </c>
      <c r="O37" s="11" t="s">
        <v>19</v>
      </c>
      <c r="P37" s="13"/>
      <c r="Q37" s="13"/>
      <c r="R37" s="13"/>
      <c r="S37" s="13"/>
      <c r="T37" s="11" t="s">
        <v>19</v>
      </c>
      <c r="U37" s="13"/>
      <c r="V37" s="13"/>
      <c r="W37" s="13"/>
      <c r="X37" s="13"/>
      <c r="Y37" s="13"/>
      <c r="Z37" s="13"/>
      <c r="AA37" s="13"/>
    </row>
    <row r="38" spans="1:27" ht="45" x14ac:dyDescent="0.25">
      <c r="A38" s="11" t="s">
        <v>1349</v>
      </c>
      <c r="B38" s="12" t="s">
        <v>1222</v>
      </c>
      <c r="C38" s="11" t="s">
        <v>1223</v>
      </c>
      <c r="D38" s="11" t="s">
        <v>1345</v>
      </c>
      <c r="E38" s="11" t="s">
        <v>1350</v>
      </c>
      <c r="F38" s="11" t="s">
        <v>237</v>
      </c>
      <c r="G38" s="11" t="s">
        <v>67</v>
      </c>
      <c r="H38" s="11"/>
      <c r="I38" s="11" t="s">
        <v>1351</v>
      </c>
      <c r="J38" s="11" t="s">
        <v>1352</v>
      </c>
      <c r="K38" s="11"/>
      <c r="L38" s="11" t="s">
        <v>70</v>
      </c>
      <c r="M38" s="11" t="s">
        <v>71</v>
      </c>
      <c r="N38" s="11" t="s">
        <v>72</v>
      </c>
      <c r="O38" s="11" t="s">
        <v>19</v>
      </c>
      <c r="P38" s="13"/>
      <c r="Q38" s="13"/>
      <c r="R38" s="13"/>
      <c r="S38" s="13"/>
      <c r="T38" s="11" t="s">
        <v>19</v>
      </c>
      <c r="U38" s="13"/>
      <c r="V38" s="13"/>
      <c r="W38" s="13"/>
      <c r="X38" s="13"/>
      <c r="Y38" s="13"/>
      <c r="Z38" s="13"/>
      <c r="AA38" s="13"/>
    </row>
    <row r="39" spans="1:27" ht="45" x14ac:dyDescent="0.25">
      <c r="A39" s="11" t="s">
        <v>1353</v>
      </c>
      <c r="B39" s="12" t="s">
        <v>1222</v>
      </c>
      <c r="C39" s="11" t="s">
        <v>1286</v>
      </c>
      <c r="D39" s="11" t="s">
        <v>1287</v>
      </c>
      <c r="E39" s="11" t="s">
        <v>1354</v>
      </c>
      <c r="F39" s="11" t="s">
        <v>237</v>
      </c>
      <c r="G39" s="11" t="s">
        <v>67</v>
      </c>
      <c r="H39" s="11"/>
      <c r="I39" s="11" t="s">
        <v>1355</v>
      </c>
      <c r="J39" s="11" t="s">
        <v>1356</v>
      </c>
      <c r="K39" s="11"/>
      <c r="L39" s="11" t="s">
        <v>70</v>
      </c>
      <c r="M39" s="11" t="s">
        <v>71</v>
      </c>
      <c r="N39" s="11" t="s">
        <v>72</v>
      </c>
      <c r="O39" s="11" t="s">
        <v>19</v>
      </c>
      <c r="P39" s="13"/>
      <c r="Q39" s="13"/>
      <c r="R39" s="13"/>
      <c r="S39" s="13"/>
      <c r="T39" s="11" t="s">
        <v>19</v>
      </c>
      <c r="U39" s="13"/>
      <c r="V39" s="13"/>
      <c r="W39" s="13"/>
      <c r="X39" s="13"/>
      <c r="Y39" s="13"/>
      <c r="Z39" s="13"/>
      <c r="AA39" s="13"/>
    </row>
    <row r="40" spans="1:27" ht="45" x14ac:dyDescent="0.25">
      <c r="A40" s="11" t="s">
        <v>1357</v>
      </c>
      <c r="B40" s="12" t="s">
        <v>1222</v>
      </c>
      <c r="C40" s="11" t="s">
        <v>1286</v>
      </c>
      <c r="D40" s="11" t="s">
        <v>1287</v>
      </c>
      <c r="E40" s="11" t="s">
        <v>1358</v>
      </c>
      <c r="F40" s="11" t="s">
        <v>237</v>
      </c>
      <c r="G40" s="11" t="s">
        <v>67</v>
      </c>
      <c r="H40" s="11"/>
      <c r="I40" s="11" t="s">
        <v>1359</v>
      </c>
      <c r="J40" s="11" t="s">
        <v>1360</v>
      </c>
      <c r="K40" s="11"/>
      <c r="L40" s="11" t="s">
        <v>70</v>
      </c>
      <c r="M40" s="11" t="s">
        <v>71</v>
      </c>
      <c r="N40" s="11" t="s">
        <v>72</v>
      </c>
      <c r="O40" s="11" t="s">
        <v>19</v>
      </c>
      <c r="P40" s="13"/>
      <c r="Q40" s="13"/>
      <c r="R40" s="13"/>
      <c r="S40" s="13"/>
      <c r="T40" s="11" t="s">
        <v>19</v>
      </c>
      <c r="U40" s="13"/>
      <c r="V40" s="13"/>
      <c r="W40" s="13"/>
      <c r="X40" s="13"/>
      <c r="Y40" s="13"/>
      <c r="Z40" s="13"/>
      <c r="AA40" s="13"/>
    </row>
    <row r="41" spans="1:27" ht="15.75" x14ac:dyDescent="0.25">
      <c r="A41" s="53" t="s">
        <v>303</v>
      </c>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5"/>
    </row>
    <row r="42" spans="1:27" ht="45" x14ac:dyDescent="0.25">
      <c r="A42" s="11" t="s">
        <v>1361</v>
      </c>
      <c r="B42" s="12" t="s">
        <v>1199</v>
      </c>
      <c r="C42" s="11" t="s">
        <v>411</v>
      </c>
      <c r="D42" s="11" t="s">
        <v>412</v>
      </c>
      <c r="E42" s="11" t="s">
        <v>1362</v>
      </c>
      <c r="F42" s="11" t="s">
        <v>206</v>
      </c>
      <c r="G42" s="11" t="s">
        <v>75</v>
      </c>
      <c r="H42" s="11"/>
      <c r="I42" s="11" t="s">
        <v>1363</v>
      </c>
      <c r="J42" s="11" t="s">
        <v>307</v>
      </c>
      <c r="K42" s="11"/>
      <c r="L42" s="11" t="s">
        <v>70</v>
      </c>
      <c r="M42" s="11" t="s">
        <v>71</v>
      </c>
      <c r="N42" s="11" t="s">
        <v>72</v>
      </c>
      <c r="O42" s="11" t="s">
        <v>19</v>
      </c>
      <c r="P42" s="13"/>
      <c r="Q42" s="13"/>
      <c r="R42" s="13"/>
      <c r="S42" s="13"/>
      <c r="T42" s="11" t="s">
        <v>19</v>
      </c>
      <c r="U42" s="13"/>
      <c r="V42" s="13"/>
      <c r="W42" s="13"/>
      <c r="X42" s="13"/>
      <c r="Y42" s="13"/>
      <c r="Z42" s="13"/>
      <c r="AA42" s="13"/>
    </row>
    <row r="43" spans="1:27" ht="15.75" x14ac:dyDescent="0.25">
      <c r="A43" s="53" t="s">
        <v>308</v>
      </c>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5"/>
    </row>
    <row r="44" spans="1:27" ht="30" x14ac:dyDescent="0.25">
      <c r="A44" s="11" t="s">
        <v>1364</v>
      </c>
      <c r="B44" s="12" t="s">
        <v>1199</v>
      </c>
      <c r="C44" s="11" t="s">
        <v>1251</v>
      </c>
      <c r="D44" s="11" t="s">
        <v>1365</v>
      </c>
      <c r="E44" s="11" t="s">
        <v>1366</v>
      </c>
      <c r="F44" s="11" t="s">
        <v>206</v>
      </c>
      <c r="G44" s="11" t="s">
        <v>75</v>
      </c>
      <c r="H44" s="11"/>
      <c r="I44" s="11" t="s">
        <v>1367</v>
      </c>
      <c r="J44" s="11" t="s">
        <v>1368</v>
      </c>
      <c r="K44" s="11"/>
      <c r="L44" s="11" t="s">
        <v>70</v>
      </c>
      <c r="M44" s="11" t="s">
        <v>71</v>
      </c>
      <c r="N44" s="11" t="s">
        <v>72</v>
      </c>
      <c r="O44" s="11" t="s">
        <v>19</v>
      </c>
      <c r="P44" s="13"/>
      <c r="Q44" s="13"/>
      <c r="R44" s="13"/>
      <c r="S44" s="13"/>
      <c r="T44" s="11" t="s">
        <v>19</v>
      </c>
      <c r="U44" s="13"/>
      <c r="V44" s="13"/>
      <c r="W44" s="13"/>
      <c r="X44" s="13"/>
      <c r="Y44" s="13"/>
      <c r="Z44" s="13"/>
      <c r="AA44" s="13"/>
    </row>
  </sheetData>
  <autoFilter ref="A1:AA1" xr:uid="{00000000-0009-0000-0000-000004000000}"/>
  <mergeCells count="5">
    <mergeCell ref="A43:AA43"/>
    <mergeCell ref="A2:AA2"/>
    <mergeCell ref="A41:AA41"/>
    <mergeCell ref="A11:AA11"/>
    <mergeCell ref="A23:AA23"/>
  </mergeCells>
  <dataValidations count="4">
    <dataValidation type="list" allowBlank="1" sqref="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9" xr:uid="{00000000-0002-0000-0400-000000000000}">
      <formula1>"Add new,Update,Delete"</formula1>
    </dataValidation>
    <dataValidation type="list" allowBlank="1"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9" xr:uid="{00000000-0002-0000-0400-000001000000}">
      <formula1>"By AI,By Manual"</formula1>
    </dataValidation>
    <dataValidation type="list" allowBlank="1" sqref="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9" xr:uid="{00000000-0002-0000-0400-000002000000}">
      <formula1>"Auto,Manual"</formula1>
    </dataValidation>
    <dataValidation type="list" allowBlank="1" sqref="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9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T201 T202 T203 T204 T205 T206 T207 T209" xr:uid="{00000000-0002-0000-0400-000003000000}">
      <formula1>"Untested,Pass,Fail,N/A"</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81"/>
  <sheetViews>
    <sheetView topLeftCell="M1" workbookViewId="0">
      <pane ySplit="1" topLeftCell="A2" activePane="bottomLeft" state="frozen"/>
      <selection pane="bottomLeft" activeCell="AA1" sqref="AA1:AA1048576"/>
    </sheetView>
  </sheetViews>
  <sheetFormatPr defaultRowHeight="15" x14ac:dyDescent="0.25"/>
  <cols>
    <col min="1" max="1" width="16" customWidth="1"/>
    <col min="2" max="2" width="22" customWidth="1"/>
    <col min="3" max="3" width="12" customWidth="1"/>
    <col min="4" max="4" width="22" customWidth="1"/>
    <col min="5" max="5" width="35" customWidth="1"/>
    <col min="6" max="6" width="14" customWidth="1"/>
    <col min="7" max="7" width="10" customWidth="1"/>
    <col min="8" max="8" width="30" customWidth="1"/>
    <col min="9" max="9" width="45" customWidth="1"/>
    <col min="10" max="11" width="40" customWidth="1"/>
    <col min="12" max="12" width="12" customWidth="1"/>
    <col min="13" max="14" width="14" customWidth="1"/>
    <col min="15" max="15" width="10" customWidth="1"/>
    <col min="16" max="16" width="12" customWidth="1"/>
    <col min="17" max="17" width="10" customWidth="1"/>
    <col min="18" max="18" width="14" customWidth="1"/>
    <col min="19" max="19" width="35" customWidth="1"/>
    <col min="20" max="20" width="10" customWidth="1"/>
    <col min="21" max="21" width="12" customWidth="1"/>
    <col min="22" max="22" width="10" customWidth="1"/>
    <col min="23" max="23" width="14" customWidth="1"/>
    <col min="24" max="24" width="35" customWidth="1"/>
    <col min="25" max="25" width="30" customWidth="1"/>
    <col min="26" max="26" width="15" customWidth="1"/>
    <col min="27" max="27" width="35" customWidth="1"/>
  </cols>
  <sheetData>
    <row r="1" spans="1:27" ht="30" customHeight="1" x14ac:dyDescent="0.25">
      <c r="A1" s="8" t="s">
        <v>33</v>
      </c>
      <c r="B1" s="9" t="s">
        <v>34</v>
      </c>
      <c r="C1" s="8" t="s">
        <v>35</v>
      </c>
      <c r="D1" s="8" t="s">
        <v>36</v>
      </c>
      <c r="E1" s="8" t="s">
        <v>37</v>
      </c>
      <c r="F1" s="8" t="s">
        <v>38</v>
      </c>
      <c r="G1" s="8" t="s">
        <v>39</v>
      </c>
      <c r="H1" s="8" t="s">
        <v>40</v>
      </c>
      <c r="I1" s="8" t="s">
        <v>41</v>
      </c>
      <c r="J1" s="8" t="s">
        <v>42</v>
      </c>
      <c r="K1" s="8" t="s">
        <v>43</v>
      </c>
      <c r="L1" s="8" t="s">
        <v>44</v>
      </c>
      <c r="M1" s="8" t="s">
        <v>45</v>
      </c>
      <c r="N1" s="8" t="s">
        <v>46</v>
      </c>
      <c r="O1" s="8" t="s">
        <v>47</v>
      </c>
      <c r="P1" s="8" t="s">
        <v>48</v>
      </c>
      <c r="Q1" s="8" t="s">
        <v>49</v>
      </c>
      <c r="R1" s="8" t="s">
        <v>50</v>
      </c>
      <c r="S1" s="8" t="s">
        <v>51</v>
      </c>
      <c r="T1" s="8" t="s">
        <v>52</v>
      </c>
      <c r="U1" s="8" t="s">
        <v>53</v>
      </c>
      <c r="V1" s="8" t="s">
        <v>54</v>
      </c>
      <c r="W1" s="8" t="s">
        <v>55</v>
      </c>
      <c r="X1" s="8" t="s">
        <v>56</v>
      </c>
      <c r="Y1" s="8" t="s">
        <v>57</v>
      </c>
      <c r="Z1" s="8" t="s">
        <v>58</v>
      </c>
      <c r="AA1" s="10" t="s">
        <v>59</v>
      </c>
    </row>
    <row r="2" spans="1:27" ht="15.75" x14ac:dyDescent="0.25">
      <c r="A2" s="53" t="s">
        <v>60</v>
      </c>
      <c r="B2" s="54"/>
      <c r="C2" s="54"/>
      <c r="D2" s="54"/>
      <c r="E2" s="54"/>
      <c r="F2" s="54"/>
      <c r="G2" s="54"/>
      <c r="H2" s="54"/>
      <c r="I2" s="54"/>
      <c r="J2" s="54"/>
      <c r="K2" s="54"/>
      <c r="L2" s="54"/>
      <c r="M2" s="54"/>
      <c r="N2" s="54"/>
      <c r="O2" s="54"/>
      <c r="P2" s="54"/>
      <c r="Q2" s="54"/>
      <c r="R2" s="54"/>
      <c r="S2" s="54"/>
      <c r="T2" s="54"/>
      <c r="U2" s="54"/>
      <c r="V2" s="54"/>
      <c r="W2" s="54"/>
      <c r="X2" s="54"/>
      <c r="Y2" s="54"/>
      <c r="Z2" s="54"/>
      <c r="AA2" s="55"/>
    </row>
    <row r="3" spans="1:27" ht="60" x14ac:dyDescent="0.25">
      <c r="A3" s="11" t="s">
        <v>1369</v>
      </c>
      <c r="B3" s="12" t="s">
        <v>1370</v>
      </c>
      <c r="C3" s="11" t="s">
        <v>146</v>
      </c>
      <c r="D3" s="11" t="s">
        <v>147</v>
      </c>
      <c r="E3" s="11" t="s">
        <v>1371</v>
      </c>
      <c r="F3" s="11" t="s">
        <v>66</v>
      </c>
      <c r="G3" s="11" t="s">
        <v>75</v>
      </c>
      <c r="H3" s="11"/>
      <c r="I3" s="11" t="s">
        <v>1372</v>
      </c>
      <c r="J3" s="11" t="s">
        <v>150</v>
      </c>
      <c r="K3" s="11"/>
      <c r="L3" s="11" t="s">
        <v>70</v>
      </c>
      <c r="M3" s="11" t="s">
        <v>71</v>
      </c>
      <c r="N3" s="11" t="s">
        <v>72</v>
      </c>
      <c r="O3" s="11" t="s">
        <v>19</v>
      </c>
      <c r="P3" s="13"/>
      <c r="Q3" s="13"/>
      <c r="R3" s="13"/>
      <c r="S3" s="13"/>
      <c r="T3" s="11" t="s">
        <v>19</v>
      </c>
      <c r="U3" s="13"/>
      <c r="V3" s="13"/>
      <c r="W3" s="13"/>
      <c r="X3" s="13"/>
      <c r="Y3" s="13"/>
      <c r="Z3" s="13"/>
      <c r="AA3" s="13"/>
    </row>
    <row r="4" spans="1:27" ht="45" x14ac:dyDescent="0.25">
      <c r="A4" s="11" t="s">
        <v>1373</v>
      </c>
      <c r="B4" s="12" t="s">
        <v>1370</v>
      </c>
      <c r="C4" s="11" t="s">
        <v>146</v>
      </c>
      <c r="D4" s="11" t="s">
        <v>152</v>
      </c>
      <c r="E4" s="11" t="s">
        <v>1374</v>
      </c>
      <c r="F4" s="11" t="s">
        <v>66</v>
      </c>
      <c r="G4" s="11" t="s">
        <v>75</v>
      </c>
      <c r="H4" s="11"/>
      <c r="I4" s="11" t="s">
        <v>1375</v>
      </c>
      <c r="J4" s="11" t="s">
        <v>155</v>
      </c>
      <c r="K4" s="11"/>
      <c r="L4" s="11" t="s">
        <v>70</v>
      </c>
      <c r="M4" s="11" t="s">
        <v>71</v>
      </c>
      <c r="N4" s="11" t="s">
        <v>72</v>
      </c>
      <c r="O4" s="11" t="s">
        <v>19</v>
      </c>
      <c r="P4" s="13"/>
      <c r="Q4" s="13"/>
      <c r="R4" s="13"/>
      <c r="S4" s="13"/>
      <c r="T4" s="11" t="s">
        <v>19</v>
      </c>
      <c r="U4" s="13"/>
      <c r="V4" s="13"/>
      <c r="W4" s="13"/>
      <c r="X4" s="13"/>
      <c r="Y4" s="13"/>
      <c r="Z4" s="13"/>
      <c r="AA4" s="13"/>
    </row>
    <row r="5" spans="1:27" ht="75" x14ac:dyDescent="0.25">
      <c r="A5" s="11" t="s">
        <v>1376</v>
      </c>
      <c r="B5" s="12" t="s">
        <v>1370</v>
      </c>
      <c r="C5" s="11" t="s">
        <v>146</v>
      </c>
      <c r="D5" s="11" t="s">
        <v>157</v>
      </c>
      <c r="E5" s="11" t="s">
        <v>1377</v>
      </c>
      <c r="F5" s="11" t="s">
        <v>66</v>
      </c>
      <c r="G5" s="11" t="s">
        <v>67</v>
      </c>
      <c r="H5" s="11"/>
      <c r="I5" s="11" t="s">
        <v>1378</v>
      </c>
      <c r="J5" s="11" t="s">
        <v>535</v>
      </c>
      <c r="K5" s="11"/>
      <c r="L5" s="11" t="s">
        <v>70</v>
      </c>
      <c r="M5" s="11" t="s">
        <v>71</v>
      </c>
      <c r="N5" s="11" t="s">
        <v>72</v>
      </c>
      <c r="O5" s="11" t="s">
        <v>19</v>
      </c>
      <c r="P5" s="13"/>
      <c r="Q5" s="13"/>
      <c r="R5" s="13"/>
      <c r="S5" s="13"/>
      <c r="T5" s="11" t="s">
        <v>19</v>
      </c>
      <c r="U5" s="13"/>
      <c r="V5" s="13"/>
      <c r="W5" s="13"/>
      <c r="X5" s="13"/>
      <c r="Y5" s="13"/>
      <c r="Z5" s="13"/>
      <c r="AA5" s="13"/>
    </row>
    <row r="6" spans="1:27" ht="90" x14ac:dyDescent="0.25">
      <c r="A6" s="11" t="s">
        <v>1379</v>
      </c>
      <c r="B6" s="12" t="s">
        <v>1370</v>
      </c>
      <c r="C6" s="11" t="s">
        <v>146</v>
      </c>
      <c r="D6" s="11" t="s">
        <v>162</v>
      </c>
      <c r="E6" s="11" t="s">
        <v>1380</v>
      </c>
      <c r="F6" s="11" t="s">
        <v>66</v>
      </c>
      <c r="G6" s="11" t="s">
        <v>67</v>
      </c>
      <c r="H6" s="11"/>
      <c r="I6" s="11" t="s">
        <v>164</v>
      </c>
      <c r="J6" s="11" t="s">
        <v>545</v>
      </c>
      <c r="K6" s="11"/>
      <c r="L6" s="11" t="s">
        <v>70</v>
      </c>
      <c r="M6" s="11" t="s">
        <v>71</v>
      </c>
      <c r="N6" s="11" t="s">
        <v>72</v>
      </c>
      <c r="O6" s="11" t="s">
        <v>19</v>
      </c>
      <c r="P6" s="13"/>
      <c r="Q6" s="13"/>
      <c r="R6" s="13"/>
      <c r="S6" s="13"/>
      <c r="T6" s="11" t="s">
        <v>19</v>
      </c>
      <c r="U6" s="13"/>
      <c r="V6" s="13"/>
      <c r="W6" s="13"/>
      <c r="X6" s="13"/>
      <c r="Y6" s="13"/>
      <c r="Z6" s="13"/>
      <c r="AA6" s="13"/>
    </row>
    <row r="7" spans="1:27" ht="75" x14ac:dyDescent="0.25">
      <c r="A7" s="11" t="s">
        <v>1381</v>
      </c>
      <c r="B7" s="12" t="s">
        <v>1370</v>
      </c>
      <c r="C7" s="11" t="s">
        <v>146</v>
      </c>
      <c r="D7" s="11" t="s">
        <v>167</v>
      </c>
      <c r="E7" s="11" t="s">
        <v>1382</v>
      </c>
      <c r="F7" s="11" t="s">
        <v>66</v>
      </c>
      <c r="G7" s="11" t="s">
        <v>75</v>
      </c>
      <c r="H7" s="11"/>
      <c r="I7" s="11" t="s">
        <v>1383</v>
      </c>
      <c r="J7" s="11" t="s">
        <v>555</v>
      </c>
      <c r="K7" s="11"/>
      <c r="L7" s="11" t="s">
        <v>70</v>
      </c>
      <c r="M7" s="11" t="s">
        <v>71</v>
      </c>
      <c r="N7" s="11" t="s">
        <v>72</v>
      </c>
      <c r="O7" s="11" t="s">
        <v>19</v>
      </c>
      <c r="P7" s="13"/>
      <c r="Q7" s="13"/>
      <c r="R7" s="13"/>
      <c r="S7" s="13"/>
      <c r="T7" s="11" t="s">
        <v>19</v>
      </c>
      <c r="U7" s="13"/>
      <c r="V7" s="13"/>
      <c r="W7" s="13"/>
      <c r="X7" s="13"/>
      <c r="Y7" s="13"/>
      <c r="Z7" s="13"/>
      <c r="AA7" s="13"/>
    </row>
    <row r="8" spans="1:27" ht="75" x14ac:dyDescent="0.25">
      <c r="A8" s="11" t="s">
        <v>1384</v>
      </c>
      <c r="B8" s="12" t="s">
        <v>1370</v>
      </c>
      <c r="C8" s="11" t="s">
        <v>146</v>
      </c>
      <c r="D8" s="11" t="s">
        <v>172</v>
      </c>
      <c r="E8" s="11" t="s">
        <v>1385</v>
      </c>
      <c r="F8" s="11" t="s">
        <v>66</v>
      </c>
      <c r="G8" s="11" t="s">
        <v>67</v>
      </c>
      <c r="H8" s="11"/>
      <c r="I8" s="11" t="s">
        <v>1386</v>
      </c>
      <c r="J8" s="11" t="s">
        <v>566</v>
      </c>
      <c r="K8" s="11"/>
      <c r="L8" s="11" t="s">
        <v>70</v>
      </c>
      <c r="M8" s="11" t="s">
        <v>71</v>
      </c>
      <c r="N8" s="11" t="s">
        <v>72</v>
      </c>
      <c r="O8" s="11" t="s">
        <v>19</v>
      </c>
      <c r="P8" s="13"/>
      <c r="Q8" s="13"/>
      <c r="R8" s="13"/>
      <c r="S8" s="13"/>
      <c r="T8" s="11" t="s">
        <v>19</v>
      </c>
      <c r="U8" s="13"/>
      <c r="V8" s="13"/>
      <c r="W8" s="13"/>
      <c r="X8" s="13"/>
      <c r="Y8" s="13"/>
      <c r="Z8" s="13"/>
      <c r="AA8" s="13"/>
    </row>
    <row r="9" spans="1:27" ht="45" x14ac:dyDescent="0.25">
      <c r="A9" s="11" t="s">
        <v>1387</v>
      </c>
      <c r="B9" s="12" t="s">
        <v>1370</v>
      </c>
      <c r="C9" s="11" t="s">
        <v>418</v>
      </c>
      <c r="D9" s="11" t="s">
        <v>1388</v>
      </c>
      <c r="E9" s="11" t="s">
        <v>1389</v>
      </c>
      <c r="F9" s="11" t="s">
        <v>66</v>
      </c>
      <c r="G9" s="11" t="s">
        <v>75</v>
      </c>
      <c r="H9" s="11"/>
      <c r="I9" s="11" t="s">
        <v>1390</v>
      </c>
      <c r="J9" s="11" t="s">
        <v>1391</v>
      </c>
      <c r="K9" s="11"/>
      <c r="L9" s="11" t="s">
        <v>70</v>
      </c>
      <c r="M9" s="11" t="s">
        <v>71</v>
      </c>
      <c r="N9" s="11" t="s">
        <v>72</v>
      </c>
      <c r="O9" s="11" t="s">
        <v>19</v>
      </c>
      <c r="P9" s="13"/>
      <c r="Q9" s="13"/>
      <c r="R9" s="13"/>
      <c r="S9" s="13"/>
      <c r="T9" s="11" t="s">
        <v>19</v>
      </c>
      <c r="U9" s="13"/>
      <c r="V9" s="13"/>
      <c r="W9" s="13"/>
      <c r="X9" s="13"/>
      <c r="Y9" s="13"/>
      <c r="Z9" s="13"/>
      <c r="AA9" s="13"/>
    </row>
    <row r="10" spans="1:27" ht="60" x14ac:dyDescent="0.25">
      <c r="A10" s="11" t="s">
        <v>1392</v>
      </c>
      <c r="B10" s="12" t="s">
        <v>1370</v>
      </c>
      <c r="C10" s="11" t="s">
        <v>418</v>
      </c>
      <c r="D10" s="11" t="s">
        <v>1393</v>
      </c>
      <c r="E10" s="11" t="s">
        <v>1394</v>
      </c>
      <c r="F10" s="11" t="s">
        <v>66</v>
      </c>
      <c r="G10" s="11" t="s">
        <v>75</v>
      </c>
      <c r="H10" s="11"/>
      <c r="I10" s="11" t="s">
        <v>1395</v>
      </c>
      <c r="J10" s="11" t="s">
        <v>1396</v>
      </c>
      <c r="K10" s="11"/>
      <c r="L10" s="11" t="s">
        <v>70</v>
      </c>
      <c r="M10" s="11" t="s">
        <v>71</v>
      </c>
      <c r="N10" s="11" t="s">
        <v>72</v>
      </c>
      <c r="O10" s="11" t="s">
        <v>19</v>
      </c>
      <c r="P10" s="13"/>
      <c r="Q10" s="13"/>
      <c r="R10" s="13"/>
      <c r="S10" s="13"/>
      <c r="T10" s="11" t="s">
        <v>19</v>
      </c>
      <c r="U10" s="13"/>
      <c r="V10" s="13"/>
      <c r="W10" s="13"/>
      <c r="X10" s="13"/>
      <c r="Y10" s="13"/>
      <c r="Z10" s="13"/>
      <c r="AA10" s="13"/>
    </row>
    <row r="11" spans="1:27" ht="45" x14ac:dyDescent="0.25">
      <c r="A11" s="11" t="s">
        <v>1397</v>
      </c>
      <c r="B11" s="12" t="s">
        <v>1370</v>
      </c>
      <c r="C11" s="11" t="s">
        <v>418</v>
      </c>
      <c r="D11" s="11" t="s">
        <v>1393</v>
      </c>
      <c r="E11" s="11" t="s">
        <v>1398</v>
      </c>
      <c r="F11" s="11" t="s">
        <v>66</v>
      </c>
      <c r="G11" s="11" t="s">
        <v>75</v>
      </c>
      <c r="H11" s="11"/>
      <c r="I11" s="11" t="s">
        <v>1399</v>
      </c>
      <c r="J11" s="11" t="s">
        <v>1400</v>
      </c>
      <c r="K11" s="11"/>
      <c r="L11" s="11" t="s">
        <v>70</v>
      </c>
      <c r="M11" s="11" t="s">
        <v>71</v>
      </c>
      <c r="N11" s="11" t="s">
        <v>72</v>
      </c>
      <c r="O11" s="11" t="s">
        <v>19</v>
      </c>
      <c r="P11" s="13"/>
      <c r="Q11" s="13"/>
      <c r="R11" s="13"/>
      <c r="S11" s="13"/>
      <c r="T11" s="11" t="s">
        <v>19</v>
      </c>
      <c r="U11" s="13"/>
      <c r="V11" s="13"/>
      <c r="W11" s="13"/>
      <c r="X11" s="13"/>
      <c r="Y11" s="13"/>
      <c r="Z11" s="13"/>
      <c r="AA11" s="13"/>
    </row>
    <row r="12" spans="1:27" ht="45" x14ac:dyDescent="0.25">
      <c r="A12" s="11" t="s">
        <v>1401</v>
      </c>
      <c r="B12" s="12" t="s">
        <v>1370</v>
      </c>
      <c r="C12" s="11" t="s">
        <v>418</v>
      </c>
      <c r="D12" s="11" t="s">
        <v>1393</v>
      </c>
      <c r="E12" s="11" t="s">
        <v>1402</v>
      </c>
      <c r="F12" s="11" t="s">
        <v>66</v>
      </c>
      <c r="G12" s="11" t="s">
        <v>75</v>
      </c>
      <c r="H12" s="11"/>
      <c r="I12" s="11" t="s">
        <v>1403</v>
      </c>
      <c r="J12" s="11" t="s">
        <v>1404</v>
      </c>
      <c r="K12" s="11"/>
      <c r="L12" s="11" t="s">
        <v>70</v>
      </c>
      <c r="M12" s="11" t="s">
        <v>71</v>
      </c>
      <c r="N12" s="11" t="s">
        <v>72</v>
      </c>
      <c r="O12" s="11" t="s">
        <v>19</v>
      </c>
      <c r="P12" s="13"/>
      <c r="Q12" s="13"/>
      <c r="R12" s="13"/>
      <c r="S12" s="13"/>
      <c r="T12" s="11" t="s">
        <v>19</v>
      </c>
      <c r="U12" s="13"/>
      <c r="V12" s="13"/>
      <c r="W12" s="13"/>
      <c r="X12" s="13"/>
      <c r="Y12" s="13"/>
      <c r="Z12" s="13"/>
      <c r="AA12" s="13"/>
    </row>
    <row r="13" spans="1:27" ht="30" x14ac:dyDescent="0.25">
      <c r="A13" s="11" t="s">
        <v>1405</v>
      </c>
      <c r="B13" s="12" t="s">
        <v>1406</v>
      </c>
      <c r="C13" s="11" t="s">
        <v>1407</v>
      </c>
      <c r="D13" s="11" t="s">
        <v>1408</v>
      </c>
      <c r="E13" s="11" t="s">
        <v>1409</v>
      </c>
      <c r="F13" s="11" t="s">
        <v>66</v>
      </c>
      <c r="G13" s="11" t="s">
        <v>94</v>
      </c>
      <c r="H13" s="11"/>
      <c r="I13" s="11" t="s">
        <v>1410</v>
      </c>
      <c r="J13" s="11" t="s">
        <v>1411</v>
      </c>
      <c r="K13" s="11"/>
      <c r="L13" s="11" t="s">
        <v>70</v>
      </c>
      <c r="M13" s="11" t="s">
        <v>71</v>
      </c>
      <c r="N13" s="11" t="s">
        <v>72</v>
      </c>
      <c r="O13" s="11" t="s">
        <v>19</v>
      </c>
      <c r="P13" s="13"/>
      <c r="Q13" s="13"/>
      <c r="R13" s="13"/>
      <c r="S13" s="13"/>
      <c r="T13" s="11" t="s">
        <v>19</v>
      </c>
      <c r="U13" s="13"/>
      <c r="V13" s="13"/>
      <c r="W13" s="13"/>
      <c r="X13" s="13"/>
      <c r="Y13" s="13"/>
      <c r="Z13" s="13"/>
      <c r="AA13" s="13"/>
    </row>
    <row r="14" spans="1:27" ht="45" x14ac:dyDescent="0.25">
      <c r="A14" s="11" t="s">
        <v>1412</v>
      </c>
      <c r="B14" s="12" t="s">
        <v>1413</v>
      </c>
      <c r="C14" s="11" t="s">
        <v>1414</v>
      </c>
      <c r="D14" s="11" t="s">
        <v>1415</v>
      </c>
      <c r="E14" s="11" t="s">
        <v>1416</v>
      </c>
      <c r="F14" s="11" t="s">
        <v>66</v>
      </c>
      <c r="G14" s="11" t="s">
        <v>75</v>
      </c>
      <c r="H14" s="11"/>
      <c r="I14" s="11" t="s">
        <v>1417</v>
      </c>
      <c r="J14" s="11" t="s">
        <v>1418</v>
      </c>
      <c r="K14" s="11"/>
      <c r="L14" s="11" t="s">
        <v>70</v>
      </c>
      <c r="M14" s="11" t="s">
        <v>71</v>
      </c>
      <c r="N14" s="11" t="s">
        <v>72</v>
      </c>
      <c r="O14" s="11" t="s">
        <v>19</v>
      </c>
      <c r="P14" s="13"/>
      <c r="Q14" s="13"/>
      <c r="R14" s="13"/>
      <c r="S14" s="13"/>
      <c r="T14" s="11" t="s">
        <v>19</v>
      </c>
      <c r="U14" s="13"/>
      <c r="V14" s="13"/>
      <c r="W14" s="13"/>
      <c r="X14" s="13"/>
      <c r="Y14" s="13"/>
      <c r="Z14" s="13"/>
      <c r="AA14" s="13"/>
    </row>
    <row r="15" spans="1:27" ht="75" x14ac:dyDescent="0.25">
      <c r="A15" s="11" t="s">
        <v>1419</v>
      </c>
      <c r="B15" s="12" t="s">
        <v>1413</v>
      </c>
      <c r="C15" s="11" t="s">
        <v>1414</v>
      </c>
      <c r="D15" s="11" t="s">
        <v>1420</v>
      </c>
      <c r="E15" s="11" t="s">
        <v>1421</v>
      </c>
      <c r="F15" s="11" t="s">
        <v>66</v>
      </c>
      <c r="G15" s="11" t="s">
        <v>67</v>
      </c>
      <c r="H15" s="11"/>
      <c r="I15" s="11" t="s">
        <v>1422</v>
      </c>
      <c r="J15" s="11" t="s">
        <v>1423</v>
      </c>
      <c r="K15" s="11"/>
      <c r="L15" s="11" t="s">
        <v>70</v>
      </c>
      <c r="M15" s="11" t="s">
        <v>71</v>
      </c>
      <c r="N15" s="11" t="s">
        <v>72</v>
      </c>
      <c r="O15" s="11" t="s">
        <v>19</v>
      </c>
      <c r="P15" s="13"/>
      <c r="Q15" s="13"/>
      <c r="R15" s="13"/>
      <c r="S15" s="13"/>
      <c r="T15" s="11" t="s">
        <v>19</v>
      </c>
      <c r="U15" s="13"/>
      <c r="V15" s="13"/>
      <c r="W15" s="13"/>
      <c r="X15" s="13"/>
      <c r="Y15" s="13"/>
      <c r="Z15" s="13"/>
      <c r="AA15" s="13"/>
    </row>
    <row r="16" spans="1:27" ht="60" x14ac:dyDescent="0.25">
      <c r="A16" s="11" t="s">
        <v>1424</v>
      </c>
      <c r="B16" s="12" t="s">
        <v>1413</v>
      </c>
      <c r="C16" s="11" t="s">
        <v>1414</v>
      </c>
      <c r="D16" s="11" t="s">
        <v>1420</v>
      </c>
      <c r="E16" s="11" t="s">
        <v>1425</v>
      </c>
      <c r="F16" s="11" t="s">
        <v>66</v>
      </c>
      <c r="G16" s="11" t="s">
        <v>67</v>
      </c>
      <c r="H16" s="11"/>
      <c r="I16" s="11" t="s">
        <v>1426</v>
      </c>
      <c r="J16" s="11" t="s">
        <v>1427</v>
      </c>
      <c r="K16" s="11"/>
      <c r="L16" s="11" t="s">
        <v>70</v>
      </c>
      <c r="M16" s="11" t="s">
        <v>71</v>
      </c>
      <c r="N16" s="11" t="s">
        <v>72</v>
      </c>
      <c r="O16" s="11" t="s">
        <v>19</v>
      </c>
      <c r="P16" s="13"/>
      <c r="Q16" s="13"/>
      <c r="R16" s="13"/>
      <c r="S16" s="13"/>
      <c r="T16" s="11" t="s">
        <v>19</v>
      </c>
      <c r="U16" s="13"/>
      <c r="V16" s="13"/>
      <c r="W16" s="13"/>
      <c r="X16" s="13"/>
      <c r="Y16" s="13"/>
      <c r="Z16" s="13"/>
      <c r="AA16" s="13"/>
    </row>
    <row r="17" spans="1:27" ht="45" x14ac:dyDescent="0.25">
      <c r="A17" s="11" t="s">
        <v>1428</v>
      </c>
      <c r="B17" s="12" t="s">
        <v>1413</v>
      </c>
      <c r="C17" s="11" t="s">
        <v>146</v>
      </c>
      <c r="D17" s="11" t="s">
        <v>147</v>
      </c>
      <c r="E17" s="11" t="s">
        <v>1429</v>
      </c>
      <c r="F17" s="11" t="s">
        <v>66</v>
      </c>
      <c r="G17" s="11" t="s">
        <v>75</v>
      </c>
      <c r="H17" s="11"/>
      <c r="I17" s="11" t="s">
        <v>1430</v>
      </c>
      <c r="J17" s="11" t="s">
        <v>1431</v>
      </c>
      <c r="K17" s="11"/>
      <c r="L17" s="11" t="s">
        <v>70</v>
      </c>
      <c r="M17" s="11" t="s">
        <v>71</v>
      </c>
      <c r="N17" s="11" t="s">
        <v>72</v>
      </c>
      <c r="O17" s="11" t="s">
        <v>19</v>
      </c>
      <c r="P17" s="13"/>
      <c r="Q17" s="13"/>
      <c r="R17" s="13"/>
      <c r="S17" s="13"/>
      <c r="T17" s="11" t="s">
        <v>19</v>
      </c>
      <c r="U17" s="13"/>
      <c r="V17" s="13"/>
      <c r="W17" s="13"/>
      <c r="X17" s="13"/>
      <c r="Y17" s="13"/>
      <c r="Z17" s="13"/>
      <c r="AA17" s="13"/>
    </row>
    <row r="18" spans="1:27" ht="30" x14ac:dyDescent="0.25">
      <c r="A18" s="11" t="s">
        <v>1432</v>
      </c>
      <c r="B18" s="12" t="s">
        <v>1413</v>
      </c>
      <c r="C18" s="11" t="s">
        <v>146</v>
      </c>
      <c r="D18" s="11" t="s">
        <v>152</v>
      </c>
      <c r="E18" s="11" t="s">
        <v>1433</v>
      </c>
      <c r="F18" s="11" t="s">
        <v>66</v>
      </c>
      <c r="G18" s="11" t="s">
        <v>75</v>
      </c>
      <c r="H18" s="11"/>
      <c r="I18" s="11" t="s">
        <v>1434</v>
      </c>
      <c r="J18" s="11" t="s">
        <v>1435</v>
      </c>
      <c r="K18" s="11"/>
      <c r="L18" s="11" t="s">
        <v>70</v>
      </c>
      <c r="M18" s="11" t="s">
        <v>71</v>
      </c>
      <c r="N18" s="11" t="s">
        <v>72</v>
      </c>
      <c r="O18" s="11" t="s">
        <v>19</v>
      </c>
      <c r="P18" s="13"/>
      <c r="Q18" s="13"/>
      <c r="R18" s="13"/>
      <c r="S18" s="13"/>
      <c r="T18" s="11" t="s">
        <v>19</v>
      </c>
      <c r="U18" s="13"/>
      <c r="V18" s="13"/>
      <c r="W18" s="13"/>
      <c r="X18" s="13"/>
      <c r="Y18" s="13"/>
      <c r="Z18" s="13"/>
      <c r="AA18" s="13"/>
    </row>
    <row r="19" spans="1:27" ht="30" x14ac:dyDescent="0.25">
      <c r="A19" s="11" t="s">
        <v>1436</v>
      </c>
      <c r="B19" s="12" t="s">
        <v>1413</v>
      </c>
      <c r="C19" s="11" t="s">
        <v>146</v>
      </c>
      <c r="D19" s="11" t="s">
        <v>157</v>
      </c>
      <c r="E19" s="11" t="s">
        <v>1437</v>
      </c>
      <c r="F19" s="11" t="s">
        <v>66</v>
      </c>
      <c r="G19" s="11" t="s">
        <v>67</v>
      </c>
      <c r="H19" s="11"/>
      <c r="I19" s="11" t="s">
        <v>1438</v>
      </c>
      <c r="J19" s="11" t="s">
        <v>1439</v>
      </c>
      <c r="K19" s="11"/>
      <c r="L19" s="11" t="s">
        <v>70</v>
      </c>
      <c r="M19" s="11" t="s">
        <v>71</v>
      </c>
      <c r="N19" s="11" t="s">
        <v>72</v>
      </c>
      <c r="O19" s="11" t="s">
        <v>19</v>
      </c>
      <c r="P19" s="13"/>
      <c r="Q19" s="13"/>
      <c r="R19" s="13"/>
      <c r="S19" s="13"/>
      <c r="T19" s="11" t="s">
        <v>19</v>
      </c>
      <c r="U19" s="13"/>
      <c r="V19" s="13"/>
      <c r="W19" s="13"/>
      <c r="X19" s="13"/>
      <c r="Y19" s="13"/>
      <c r="Z19" s="13"/>
      <c r="AA19" s="13"/>
    </row>
    <row r="20" spans="1:27" ht="30" x14ac:dyDescent="0.25">
      <c r="A20" s="11" t="s">
        <v>1440</v>
      </c>
      <c r="B20" s="12" t="s">
        <v>1413</v>
      </c>
      <c r="C20" s="11" t="s">
        <v>146</v>
      </c>
      <c r="D20" s="11" t="s">
        <v>162</v>
      </c>
      <c r="E20" s="11" t="s">
        <v>1441</v>
      </c>
      <c r="F20" s="11" t="s">
        <v>66</v>
      </c>
      <c r="G20" s="11" t="s">
        <v>67</v>
      </c>
      <c r="H20" s="11"/>
      <c r="I20" s="11" t="s">
        <v>1442</v>
      </c>
      <c r="J20" s="11" t="s">
        <v>1443</v>
      </c>
      <c r="K20" s="11"/>
      <c r="L20" s="11" t="s">
        <v>70</v>
      </c>
      <c r="M20" s="11" t="s">
        <v>71</v>
      </c>
      <c r="N20" s="11" t="s">
        <v>72</v>
      </c>
      <c r="O20" s="11" t="s">
        <v>19</v>
      </c>
      <c r="P20" s="13"/>
      <c r="Q20" s="13"/>
      <c r="R20" s="13"/>
      <c r="S20" s="13"/>
      <c r="T20" s="11" t="s">
        <v>19</v>
      </c>
      <c r="U20" s="13"/>
      <c r="V20" s="13"/>
      <c r="W20" s="13"/>
      <c r="X20" s="13"/>
      <c r="Y20" s="13"/>
      <c r="Z20" s="13"/>
      <c r="AA20" s="13"/>
    </row>
    <row r="21" spans="1:27" ht="30" x14ac:dyDescent="0.25">
      <c r="A21" s="11" t="s">
        <v>1444</v>
      </c>
      <c r="B21" s="12" t="s">
        <v>1413</v>
      </c>
      <c r="C21" s="11" t="s">
        <v>146</v>
      </c>
      <c r="D21" s="11" t="s">
        <v>167</v>
      </c>
      <c r="E21" s="11" t="s">
        <v>1445</v>
      </c>
      <c r="F21" s="11" t="s">
        <v>66</v>
      </c>
      <c r="G21" s="11" t="s">
        <v>75</v>
      </c>
      <c r="H21" s="11"/>
      <c r="I21" s="11" t="s">
        <v>1446</v>
      </c>
      <c r="J21" s="11" t="s">
        <v>1447</v>
      </c>
      <c r="K21" s="11"/>
      <c r="L21" s="11" t="s">
        <v>70</v>
      </c>
      <c r="M21" s="11" t="s">
        <v>71</v>
      </c>
      <c r="N21" s="11" t="s">
        <v>72</v>
      </c>
      <c r="O21" s="11" t="s">
        <v>19</v>
      </c>
      <c r="P21" s="13"/>
      <c r="Q21" s="13"/>
      <c r="R21" s="13"/>
      <c r="S21" s="13"/>
      <c r="T21" s="11" t="s">
        <v>19</v>
      </c>
      <c r="U21" s="13"/>
      <c r="V21" s="13"/>
      <c r="W21" s="13"/>
      <c r="X21" s="13"/>
      <c r="Y21" s="13"/>
      <c r="Z21" s="13"/>
      <c r="AA21" s="13"/>
    </row>
    <row r="22" spans="1:27" ht="45" x14ac:dyDescent="0.25">
      <c r="A22" s="11" t="s">
        <v>1448</v>
      </c>
      <c r="B22" s="12" t="s">
        <v>1413</v>
      </c>
      <c r="C22" s="11" t="s">
        <v>146</v>
      </c>
      <c r="D22" s="11" t="s">
        <v>172</v>
      </c>
      <c r="E22" s="11" t="s">
        <v>1449</v>
      </c>
      <c r="F22" s="11" t="s">
        <v>66</v>
      </c>
      <c r="G22" s="11" t="s">
        <v>67</v>
      </c>
      <c r="H22" s="11"/>
      <c r="I22" s="11" t="s">
        <v>1450</v>
      </c>
      <c r="J22" s="11" t="s">
        <v>1451</v>
      </c>
      <c r="K22" s="11"/>
      <c r="L22" s="11" t="s">
        <v>70</v>
      </c>
      <c r="M22" s="11" t="s">
        <v>71</v>
      </c>
      <c r="N22" s="11" t="s">
        <v>72</v>
      </c>
      <c r="O22" s="11" t="s">
        <v>19</v>
      </c>
      <c r="P22" s="13"/>
      <c r="Q22" s="13"/>
      <c r="R22" s="13"/>
      <c r="S22" s="13"/>
      <c r="T22" s="11" t="s">
        <v>19</v>
      </c>
      <c r="U22" s="13"/>
      <c r="V22" s="13"/>
      <c r="W22" s="13"/>
      <c r="X22" s="13"/>
      <c r="Y22" s="13"/>
      <c r="Z22" s="13"/>
      <c r="AA22" s="13"/>
    </row>
    <row r="23" spans="1:27" ht="15.75" x14ac:dyDescent="0.25">
      <c r="A23" s="53" t="s">
        <v>203</v>
      </c>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5"/>
    </row>
    <row r="24" spans="1:27" ht="30" x14ac:dyDescent="0.25">
      <c r="A24" s="11" t="s">
        <v>1452</v>
      </c>
      <c r="B24" s="12" t="s">
        <v>1370</v>
      </c>
      <c r="C24" s="11" t="s">
        <v>418</v>
      </c>
      <c r="D24" s="11" t="s">
        <v>1453</v>
      </c>
      <c r="E24" s="11" t="s">
        <v>1454</v>
      </c>
      <c r="F24" s="11" t="s">
        <v>206</v>
      </c>
      <c r="G24" s="11" t="s">
        <v>75</v>
      </c>
      <c r="H24" s="11"/>
      <c r="I24" s="11" t="s">
        <v>1455</v>
      </c>
      <c r="J24" s="11" t="s">
        <v>1456</v>
      </c>
      <c r="K24" s="11"/>
      <c r="L24" s="11" t="s">
        <v>70</v>
      </c>
      <c r="M24" s="11" t="s">
        <v>71</v>
      </c>
      <c r="N24" s="11" t="s">
        <v>72</v>
      </c>
      <c r="O24" s="11" t="s">
        <v>19</v>
      </c>
      <c r="P24" s="13"/>
      <c r="Q24" s="13"/>
      <c r="R24" s="13"/>
      <c r="S24" s="13"/>
      <c r="T24" s="11" t="s">
        <v>19</v>
      </c>
      <c r="U24" s="13"/>
      <c r="V24" s="13"/>
      <c r="W24" s="13"/>
      <c r="X24" s="13"/>
      <c r="Y24" s="13"/>
      <c r="Z24" s="13"/>
      <c r="AA24" s="13"/>
    </row>
    <row r="25" spans="1:27" ht="30" x14ac:dyDescent="0.25">
      <c r="A25" s="11" t="s">
        <v>1457</v>
      </c>
      <c r="B25" s="12" t="s">
        <v>1370</v>
      </c>
      <c r="C25" s="11" t="s">
        <v>418</v>
      </c>
      <c r="D25" s="11" t="s">
        <v>1458</v>
      </c>
      <c r="E25" s="11" t="s">
        <v>1459</v>
      </c>
      <c r="F25" s="11" t="s">
        <v>206</v>
      </c>
      <c r="G25" s="11" t="s">
        <v>75</v>
      </c>
      <c r="H25" s="11"/>
      <c r="I25" s="11" t="s">
        <v>1460</v>
      </c>
      <c r="J25" s="11" t="s">
        <v>1461</v>
      </c>
      <c r="K25" s="11"/>
      <c r="L25" s="11" t="s">
        <v>70</v>
      </c>
      <c r="M25" s="11" t="s">
        <v>71</v>
      </c>
      <c r="N25" s="11" t="s">
        <v>72</v>
      </c>
      <c r="O25" s="11" t="s">
        <v>19</v>
      </c>
      <c r="P25" s="13"/>
      <c r="Q25" s="13"/>
      <c r="R25" s="13"/>
      <c r="S25" s="13"/>
      <c r="T25" s="11" t="s">
        <v>19</v>
      </c>
      <c r="U25" s="13"/>
      <c r="V25" s="13"/>
      <c r="W25" s="13"/>
      <c r="X25" s="13"/>
      <c r="Y25" s="13"/>
      <c r="Z25" s="13"/>
      <c r="AA25" s="13"/>
    </row>
    <row r="26" spans="1:27" ht="45" x14ac:dyDescent="0.25">
      <c r="A26" s="11" t="s">
        <v>1462</v>
      </c>
      <c r="B26" s="12" t="s">
        <v>1370</v>
      </c>
      <c r="C26" s="11" t="s">
        <v>418</v>
      </c>
      <c r="D26" s="11" t="s">
        <v>1463</v>
      </c>
      <c r="E26" s="11" t="s">
        <v>1464</v>
      </c>
      <c r="F26" s="11" t="s">
        <v>206</v>
      </c>
      <c r="G26" s="11" t="s">
        <v>67</v>
      </c>
      <c r="H26" s="11"/>
      <c r="I26" s="11" t="s">
        <v>1465</v>
      </c>
      <c r="J26" s="11" t="s">
        <v>1466</v>
      </c>
      <c r="K26" s="11"/>
      <c r="L26" s="11" t="s">
        <v>70</v>
      </c>
      <c r="M26" s="11" t="s">
        <v>71</v>
      </c>
      <c r="N26" s="11" t="s">
        <v>72</v>
      </c>
      <c r="O26" s="11" t="s">
        <v>19</v>
      </c>
      <c r="P26" s="13"/>
      <c r="Q26" s="13"/>
      <c r="R26" s="13"/>
      <c r="S26" s="13"/>
      <c r="T26" s="11" t="s">
        <v>19</v>
      </c>
      <c r="U26" s="13"/>
      <c r="V26" s="13"/>
      <c r="W26" s="13"/>
      <c r="X26" s="13"/>
      <c r="Y26" s="13"/>
      <c r="Z26" s="13"/>
      <c r="AA26" s="13"/>
    </row>
    <row r="27" spans="1:27" ht="45" x14ac:dyDescent="0.25">
      <c r="A27" s="11" t="s">
        <v>1467</v>
      </c>
      <c r="B27" s="12" t="s">
        <v>1370</v>
      </c>
      <c r="C27" s="11" t="s">
        <v>418</v>
      </c>
      <c r="D27" s="11" t="s">
        <v>1393</v>
      </c>
      <c r="E27" s="11" t="s">
        <v>1468</v>
      </c>
      <c r="F27" s="11" t="s">
        <v>206</v>
      </c>
      <c r="G27" s="11" t="s">
        <v>67</v>
      </c>
      <c r="H27" s="11"/>
      <c r="I27" s="11" t="s">
        <v>1469</v>
      </c>
      <c r="J27" s="11" t="s">
        <v>1470</v>
      </c>
      <c r="K27" s="11"/>
      <c r="L27" s="11" t="s">
        <v>70</v>
      </c>
      <c r="M27" s="11" t="s">
        <v>71</v>
      </c>
      <c r="N27" s="11" t="s">
        <v>72</v>
      </c>
      <c r="O27" s="11" t="s">
        <v>19</v>
      </c>
      <c r="P27" s="13"/>
      <c r="Q27" s="13"/>
      <c r="R27" s="13"/>
      <c r="S27" s="13"/>
      <c r="T27" s="11" t="s">
        <v>19</v>
      </c>
      <c r="U27" s="13"/>
      <c r="V27" s="13"/>
      <c r="W27" s="13"/>
      <c r="X27" s="13"/>
      <c r="Y27" s="13"/>
      <c r="Z27" s="13"/>
      <c r="AA27" s="13"/>
    </row>
    <row r="28" spans="1:27" ht="45" x14ac:dyDescent="0.25">
      <c r="A28" s="11" t="s">
        <v>1471</v>
      </c>
      <c r="B28" s="12" t="s">
        <v>1370</v>
      </c>
      <c r="C28" s="11" t="s">
        <v>418</v>
      </c>
      <c r="D28" s="11" t="s">
        <v>1393</v>
      </c>
      <c r="E28" s="11" t="s">
        <v>1472</v>
      </c>
      <c r="F28" s="11" t="s">
        <v>206</v>
      </c>
      <c r="G28" s="11" t="s">
        <v>75</v>
      </c>
      <c r="H28" s="11"/>
      <c r="I28" s="11" t="s">
        <v>1473</v>
      </c>
      <c r="J28" s="11" t="s">
        <v>1474</v>
      </c>
      <c r="K28" s="11"/>
      <c r="L28" s="11" t="s">
        <v>70</v>
      </c>
      <c r="M28" s="11" t="s">
        <v>71</v>
      </c>
      <c r="N28" s="11" t="s">
        <v>72</v>
      </c>
      <c r="O28" s="11" t="s">
        <v>19</v>
      </c>
      <c r="P28" s="13"/>
      <c r="Q28" s="13"/>
      <c r="R28" s="13"/>
      <c r="S28" s="13"/>
      <c r="T28" s="11" t="s">
        <v>19</v>
      </c>
      <c r="U28" s="13"/>
      <c r="V28" s="13"/>
      <c r="W28" s="13"/>
      <c r="X28" s="13"/>
      <c r="Y28" s="13"/>
      <c r="Z28" s="13"/>
      <c r="AA28" s="13"/>
    </row>
    <row r="29" spans="1:27" ht="45" x14ac:dyDescent="0.25">
      <c r="A29" s="11" t="s">
        <v>1475</v>
      </c>
      <c r="B29" s="12" t="s">
        <v>1370</v>
      </c>
      <c r="C29" s="11" t="s">
        <v>418</v>
      </c>
      <c r="D29" s="11" t="s">
        <v>1393</v>
      </c>
      <c r="E29" s="11" t="s">
        <v>1476</v>
      </c>
      <c r="F29" s="11" t="s">
        <v>206</v>
      </c>
      <c r="G29" s="11" t="s">
        <v>94</v>
      </c>
      <c r="H29" s="11"/>
      <c r="I29" s="11" t="s">
        <v>1477</v>
      </c>
      <c r="J29" s="11" t="s">
        <v>1478</v>
      </c>
      <c r="K29" s="11"/>
      <c r="L29" s="11" t="s">
        <v>70</v>
      </c>
      <c r="M29" s="11" t="s">
        <v>71</v>
      </c>
      <c r="N29" s="11" t="s">
        <v>72</v>
      </c>
      <c r="O29" s="11" t="s">
        <v>19</v>
      </c>
      <c r="P29" s="13"/>
      <c r="Q29" s="13"/>
      <c r="R29" s="13"/>
      <c r="S29" s="13"/>
      <c r="T29" s="11" t="s">
        <v>19</v>
      </c>
      <c r="U29" s="13"/>
      <c r="V29" s="13"/>
      <c r="W29" s="13"/>
      <c r="X29" s="13"/>
      <c r="Y29" s="13"/>
      <c r="Z29" s="13"/>
      <c r="AA29" s="13"/>
    </row>
    <row r="30" spans="1:27" ht="60" x14ac:dyDescent="0.25">
      <c r="A30" s="11" t="s">
        <v>1479</v>
      </c>
      <c r="B30" s="12" t="s">
        <v>1406</v>
      </c>
      <c r="C30" s="11" t="s">
        <v>1480</v>
      </c>
      <c r="D30" s="11" t="s">
        <v>1481</v>
      </c>
      <c r="E30" s="11" t="s">
        <v>1482</v>
      </c>
      <c r="F30" s="11" t="s">
        <v>587</v>
      </c>
      <c r="G30" s="11" t="s">
        <v>75</v>
      </c>
      <c r="H30" s="11"/>
      <c r="I30" s="11" t="s">
        <v>1483</v>
      </c>
      <c r="J30" s="11" t="s">
        <v>1484</v>
      </c>
      <c r="K30" s="11"/>
      <c r="L30" s="11" t="s">
        <v>70</v>
      </c>
      <c r="M30" s="11" t="s">
        <v>71</v>
      </c>
      <c r="N30" s="11" t="s">
        <v>72</v>
      </c>
      <c r="O30" s="11" t="s">
        <v>19</v>
      </c>
      <c r="P30" s="13"/>
      <c r="Q30" s="13"/>
      <c r="R30" s="13"/>
      <c r="S30" s="13"/>
      <c r="T30" s="11" t="s">
        <v>19</v>
      </c>
      <c r="U30" s="13"/>
      <c r="V30" s="13"/>
      <c r="W30" s="13"/>
      <c r="X30" s="13"/>
      <c r="Y30" s="13"/>
      <c r="Z30" s="13"/>
      <c r="AA30" s="13"/>
    </row>
    <row r="31" spans="1:27" ht="45" x14ac:dyDescent="0.25">
      <c r="A31" s="11" t="s">
        <v>1485</v>
      </c>
      <c r="B31" s="12" t="s">
        <v>1413</v>
      </c>
      <c r="C31" s="11" t="s">
        <v>1414</v>
      </c>
      <c r="D31" s="11" t="s">
        <v>1486</v>
      </c>
      <c r="E31" s="11" t="s">
        <v>1487</v>
      </c>
      <c r="F31" s="11" t="s">
        <v>206</v>
      </c>
      <c r="G31" s="11" t="s">
        <v>75</v>
      </c>
      <c r="H31" s="11"/>
      <c r="I31" s="11" t="s">
        <v>1488</v>
      </c>
      <c r="J31" s="11" t="s">
        <v>1489</v>
      </c>
      <c r="K31" s="11"/>
      <c r="L31" s="11" t="s">
        <v>70</v>
      </c>
      <c r="M31" s="11" t="s">
        <v>71</v>
      </c>
      <c r="N31" s="11" t="s">
        <v>72</v>
      </c>
      <c r="O31" s="11" t="s">
        <v>19</v>
      </c>
      <c r="P31" s="13"/>
      <c r="Q31" s="13"/>
      <c r="R31" s="13"/>
      <c r="S31" s="13"/>
      <c r="T31" s="11" t="s">
        <v>19</v>
      </c>
      <c r="U31" s="13"/>
      <c r="V31" s="13"/>
      <c r="W31" s="13"/>
      <c r="X31" s="13"/>
      <c r="Y31" s="13"/>
      <c r="Z31" s="13"/>
      <c r="AA31" s="13"/>
    </row>
    <row r="32" spans="1:27" ht="30" x14ac:dyDescent="0.25">
      <c r="A32" s="11" t="s">
        <v>1490</v>
      </c>
      <c r="B32" s="12" t="s">
        <v>1413</v>
      </c>
      <c r="C32" s="11" t="s">
        <v>1414</v>
      </c>
      <c r="D32" s="11" t="s">
        <v>1491</v>
      </c>
      <c r="E32" s="11" t="s">
        <v>1492</v>
      </c>
      <c r="F32" s="11" t="s">
        <v>206</v>
      </c>
      <c r="G32" s="11" t="s">
        <v>75</v>
      </c>
      <c r="H32" s="11"/>
      <c r="I32" s="11" t="s">
        <v>1493</v>
      </c>
      <c r="J32" s="11" t="s">
        <v>1494</v>
      </c>
      <c r="K32" s="11"/>
      <c r="L32" s="11" t="s">
        <v>70</v>
      </c>
      <c r="M32" s="11" t="s">
        <v>71</v>
      </c>
      <c r="N32" s="11" t="s">
        <v>72</v>
      </c>
      <c r="O32" s="11" t="s">
        <v>19</v>
      </c>
      <c r="P32" s="13"/>
      <c r="Q32" s="13"/>
      <c r="R32" s="13"/>
      <c r="S32" s="13"/>
      <c r="T32" s="11" t="s">
        <v>19</v>
      </c>
      <c r="U32" s="13"/>
      <c r="V32" s="13"/>
      <c r="W32" s="13"/>
      <c r="X32" s="13"/>
      <c r="Y32" s="13"/>
      <c r="Z32" s="13"/>
      <c r="AA32" s="13"/>
    </row>
    <row r="33" spans="1:27" ht="30" x14ac:dyDescent="0.25">
      <c r="A33" s="11" t="s">
        <v>1495</v>
      </c>
      <c r="B33" s="12" t="s">
        <v>1413</v>
      </c>
      <c r="C33" s="11" t="s">
        <v>1414</v>
      </c>
      <c r="D33" s="11" t="s">
        <v>1491</v>
      </c>
      <c r="E33" s="11" t="s">
        <v>1496</v>
      </c>
      <c r="F33" s="11" t="s">
        <v>206</v>
      </c>
      <c r="G33" s="11" t="s">
        <v>94</v>
      </c>
      <c r="H33" s="11"/>
      <c r="I33" s="11" t="s">
        <v>1497</v>
      </c>
      <c r="J33" s="11" t="s">
        <v>1498</v>
      </c>
      <c r="K33" s="11"/>
      <c r="L33" s="11" t="s">
        <v>70</v>
      </c>
      <c r="M33" s="11" t="s">
        <v>71</v>
      </c>
      <c r="N33" s="11" t="s">
        <v>72</v>
      </c>
      <c r="O33" s="11" t="s">
        <v>19</v>
      </c>
      <c r="P33" s="13"/>
      <c r="Q33" s="13"/>
      <c r="R33" s="13"/>
      <c r="S33" s="13"/>
      <c r="T33" s="11" t="s">
        <v>19</v>
      </c>
      <c r="U33" s="13"/>
      <c r="V33" s="13"/>
      <c r="W33" s="13"/>
      <c r="X33" s="13"/>
      <c r="Y33" s="13"/>
      <c r="Z33" s="13"/>
      <c r="AA33" s="13"/>
    </row>
    <row r="34" spans="1:27" ht="30" x14ac:dyDescent="0.25">
      <c r="A34" s="11" t="s">
        <v>1499</v>
      </c>
      <c r="B34" s="12" t="s">
        <v>1413</v>
      </c>
      <c r="C34" s="11" t="s">
        <v>1414</v>
      </c>
      <c r="D34" s="11" t="s">
        <v>1491</v>
      </c>
      <c r="E34" s="11" t="s">
        <v>1500</v>
      </c>
      <c r="F34" s="11" t="s">
        <v>206</v>
      </c>
      <c r="G34" s="11" t="s">
        <v>94</v>
      </c>
      <c r="H34" s="11"/>
      <c r="I34" s="11" t="s">
        <v>1501</v>
      </c>
      <c r="J34" s="11" t="s">
        <v>1502</v>
      </c>
      <c r="K34" s="11"/>
      <c r="L34" s="11" t="s">
        <v>70</v>
      </c>
      <c r="M34" s="11" t="s">
        <v>71</v>
      </c>
      <c r="N34" s="11" t="s">
        <v>72</v>
      </c>
      <c r="O34" s="11" t="s">
        <v>19</v>
      </c>
      <c r="P34" s="13"/>
      <c r="Q34" s="13"/>
      <c r="R34" s="13"/>
      <c r="S34" s="13"/>
      <c r="T34" s="11" t="s">
        <v>19</v>
      </c>
      <c r="U34" s="13"/>
      <c r="V34" s="13"/>
      <c r="W34" s="13"/>
      <c r="X34" s="13"/>
      <c r="Y34" s="13"/>
      <c r="Z34" s="13"/>
      <c r="AA34" s="13"/>
    </row>
    <row r="35" spans="1:27" ht="15.75" x14ac:dyDescent="0.25">
      <c r="A35" s="53" t="s">
        <v>234</v>
      </c>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5"/>
    </row>
    <row r="36" spans="1:27" ht="45" x14ac:dyDescent="0.25">
      <c r="A36" s="11" t="s">
        <v>1503</v>
      </c>
      <c r="B36" s="12" t="s">
        <v>1370</v>
      </c>
      <c r="C36" s="11" t="s">
        <v>418</v>
      </c>
      <c r="D36" s="11" t="s">
        <v>1453</v>
      </c>
      <c r="E36" s="11" t="s">
        <v>1504</v>
      </c>
      <c r="F36" s="11" t="s">
        <v>237</v>
      </c>
      <c r="G36" s="11" t="s">
        <v>75</v>
      </c>
      <c r="H36" s="11"/>
      <c r="I36" s="11" t="s">
        <v>1505</v>
      </c>
      <c r="J36" s="11" t="s">
        <v>1506</v>
      </c>
      <c r="K36" s="11"/>
      <c r="L36" s="11" t="s">
        <v>70</v>
      </c>
      <c r="M36" s="11" t="s">
        <v>71</v>
      </c>
      <c r="N36" s="11" t="s">
        <v>72</v>
      </c>
      <c r="O36" s="11" t="s">
        <v>19</v>
      </c>
      <c r="P36" s="13"/>
      <c r="Q36" s="13"/>
      <c r="R36" s="13"/>
      <c r="S36" s="13"/>
      <c r="T36" s="11" t="s">
        <v>19</v>
      </c>
      <c r="U36" s="13"/>
      <c r="V36" s="13"/>
      <c r="W36" s="13"/>
      <c r="X36" s="13"/>
      <c r="Y36" s="13"/>
      <c r="Z36" s="13"/>
      <c r="AA36" s="13"/>
    </row>
    <row r="37" spans="1:27" ht="30" x14ac:dyDescent="0.25">
      <c r="A37" s="11" t="s">
        <v>1507</v>
      </c>
      <c r="B37" s="12" t="s">
        <v>1370</v>
      </c>
      <c r="C37" s="11" t="s">
        <v>418</v>
      </c>
      <c r="D37" s="11" t="s">
        <v>1453</v>
      </c>
      <c r="E37" s="11" t="s">
        <v>1508</v>
      </c>
      <c r="F37" s="11" t="s">
        <v>237</v>
      </c>
      <c r="G37" s="11" t="s">
        <v>75</v>
      </c>
      <c r="H37" s="11"/>
      <c r="I37" s="11" t="s">
        <v>1509</v>
      </c>
      <c r="J37" s="11" t="s">
        <v>1510</v>
      </c>
      <c r="K37" s="11"/>
      <c r="L37" s="11" t="s">
        <v>70</v>
      </c>
      <c r="M37" s="11" t="s">
        <v>71</v>
      </c>
      <c r="N37" s="11" t="s">
        <v>72</v>
      </c>
      <c r="O37" s="11" t="s">
        <v>19</v>
      </c>
      <c r="P37" s="13"/>
      <c r="Q37" s="13"/>
      <c r="R37" s="13"/>
      <c r="S37" s="13"/>
      <c r="T37" s="11" t="s">
        <v>19</v>
      </c>
      <c r="U37" s="13"/>
      <c r="V37" s="13"/>
      <c r="W37" s="13"/>
      <c r="X37" s="13"/>
      <c r="Y37" s="13"/>
      <c r="Z37" s="13"/>
      <c r="AA37" s="13"/>
    </row>
    <row r="38" spans="1:27" ht="30" x14ac:dyDescent="0.25">
      <c r="A38" s="11" t="s">
        <v>1511</v>
      </c>
      <c r="B38" s="12" t="s">
        <v>1370</v>
      </c>
      <c r="C38" s="11" t="s">
        <v>418</v>
      </c>
      <c r="D38" s="11" t="s">
        <v>1453</v>
      </c>
      <c r="E38" s="11" t="s">
        <v>1512</v>
      </c>
      <c r="F38" s="11" t="s">
        <v>237</v>
      </c>
      <c r="G38" s="11" t="s">
        <v>75</v>
      </c>
      <c r="H38" s="11"/>
      <c r="I38" s="11" t="s">
        <v>1513</v>
      </c>
      <c r="J38" s="11" t="s">
        <v>1514</v>
      </c>
      <c r="K38" s="11"/>
      <c r="L38" s="11" t="s">
        <v>70</v>
      </c>
      <c r="M38" s="11" t="s">
        <v>71</v>
      </c>
      <c r="N38" s="11" t="s">
        <v>72</v>
      </c>
      <c r="O38" s="11" t="s">
        <v>19</v>
      </c>
      <c r="P38" s="13"/>
      <c r="Q38" s="13"/>
      <c r="R38" s="13"/>
      <c r="S38" s="13"/>
      <c r="T38" s="11" t="s">
        <v>19</v>
      </c>
      <c r="U38" s="13"/>
      <c r="V38" s="13"/>
      <c r="W38" s="13"/>
      <c r="X38" s="13"/>
      <c r="Y38" s="13"/>
      <c r="Z38" s="13"/>
      <c r="AA38" s="13"/>
    </row>
    <row r="39" spans="1:27" ht="30" x14ac:dyDescent="0.25">
      <c r="A39" s="11" t="s">
        <v>1515</v>
      </c>
      <c r="B39" s="12" t="s">
        <v>1370</v>
      </c>
      <c r="C39" s="11" t="s">
        <v>418</v>
      </c>
      <c r="D39" s="11" t="s">
        <v>1453</v>
      </c>
      <c r="E39" s="11" t="s">
        <v>1516</v>
      </c>
      <c r="F39" s="11" t="s">
        <v>237</v>
      </c>
      <c r="G39" s="11" t="s">
        <v>75</v>
      </c>
      <c r="H39" s="11"/>
      <c r="I39" s="11" t="s">
        <v>1517</v>
      </c>
      <c r="J39" s="11" t="s">
        <v>1518</v>
      </c>
      <c r="K39" s="11"/>
      <c r="L39" s="11" t="s">
        <v>70</v>
      </c>
      <c r="M39" s="11" t="s">
        <v>71</v>
      </c>
      <c r="N39" s="11" t="s">
        <v>72</v>
      </c>
      <c r="O39" s="11" t="s">
        <v>19</v>
      </c>
      <c r="P39" s="13"/>
      <c r="Q39" s="13"/>
      <c r="R39" s="13"/>
      <c r="S39" s="13"/>
      <c r="T39" s="11" t="s">
        <v>19</v>
      </c>
      <c r="U39" s="13"/>
      <c r="V39" s="13"/>
      <c r="W39" s="13"/>
      <c r="X39" s="13"/>
      <c r="Y39" s="13"/>
      <c r="Z39" s="13"/>
      <c r="AA39" s="13"/>
    </row>
    <row r="40" spans="1:27" ht="45" x14ac:dyDescent="0.25">
      <c r="A40" s="11" t="s">
        <v>1519</v>
      </c>
      <c r="B40" s="12" t="s">
        <v>1370</v>
      </c>
      <c r="C40" s="11" t="s">
        <v>418</v>
      </c>
      <c r="D40" s="11" t="s">
        <v>1520</v>
      </c>
      <c r="E40" s="11" t="s">
        <v>1521</v>
      </c>
      <c r="F40" s="11" t="s">
        <v>237</v>
      </c>
      <c r="G40" s="11" t="s">
        <v>67</v>
      </c>
      <c r="H40" s="11"/>
      <c r="I40" s="11" t="s">
        <v>1522</v>
      </c>
      <c r="J40" s="11" t="s">
        <v>1523</v>
      </c>
      <c r="K40" s="11"/>
      <c r="L40" s="11" t="s">
        <v>70</v>
      </c>
      <c r="M40" s="11" t="s">
        <v>71</v>
      </c>
      <c r="N40" s="11" t="s">
        <v>72</v>
      </c>
      <c r="O40" s="11" t="s">
        <v>19</v>
      </c>
      <c r="P40" s="13"/>
      <c r="Q40" s="13"/>
      <c r="R40" s="13"/>
      <c r="S40" s="13"/>
      <c r="T40" s="11" t="s">
        <v>19</v>
      </c>
      <c r="U40" s="13"/>
      <c r="V40" s="13"/>
      <c r="W40" s="13"/>
      <c r="X40" s="13"/>
      <c r="Y40" s="13"/>
      <c r="Z40" s="13"/>
      <c r="AA40" s="13"/>
    </row>
    <row r="41" spans="1:27" ht="30" x14ac:dyDescent="0.25">
      <c r="A41" s="11" t="s">
        <v>1524</v>
      </c>
      <c r="B41" s="12" t="s">
        <v>1370</v>
      </c>
      <c r="C41" s="11" t="s">
        <v>418</v>
      </c>
      <c r="D41" s="11" t="s">
        <v>1520</v>
      </c>
      <c r="E41" s="11" t="s">
        <v>1525</v>
      </c>
      <c r="F41" s="11" t="s">
        <v>237</v>
      </c>
      <c r="G41" s="11" t="s">
        <v>67</v>
      </c>
      <c r="H41" s="11"/>
      <c r="I41" s="11" t="s">
        <v>1526</v>
      </c>
      <c r="J41" s="11" t="s">
        <v>1527</v>
      </c>
      <c r="K41" s="11"/>
      <c r="L41" s="11" t="s">
        <v>70</v>
      </c>
      <c r="M41" s="11" t="s">
        <v>71</v>
      </c>
      <c r="N41" s="11" t="s">
        <v>72</v>
      </c>
      <c r="O41" s="11" t="s">
        <v>19</v>
      </c>
      <c r="P41" s="13"/>
      <c r="Q41" s="13"/>
      <c r="R41" s="13"/>
      <c r="S41" s="13"/>
      <c r="T41" s="11" t="s">
        <v>19</v>
      </c>
      <c r="U41" s="13"/>
      <c r="V41" s="13"/>
      <c r="W41" s="13"/>
      <c r="X41" s="13"/>
      <c r="Y41" s="13"/>
      <c r="Z41" s="13"/>
      <c r="AA41" s="13"/>
    </row>
    <row r="42" spans="1:27" ht="30" x14ac:dyDescent="0.25">
      <c r="A42" s="11" t="s">
        <v>1528</v>
      </c>
      <c r="B42" s="12" t="s">
        <v>1370</v>
      </c>
      <c r="C42" s="11" t="s">
        <v>418</v>
      </c>
      <c r="D42" s="11" t="s">
        <v>1520</v>
      </c>
      <c r="E42" s="11" t="s">
        <v>1529</v>
      </c>
      <c r="F42" s="11" t="s">
        <v>237</v>
      </c>
      <c r="G42" s="11" t="s">
        <v>67</v>
      </c>
      <c r="H42" s="11"/>
      <c r="I42" s="11" t="s">
        <v>1530</v>
      </c>
      <c r="J42" s="11" t="s">
        <v>1531</v>
      </c>
      <c r="K42" s="11"/>
      <c r="L42" s="11" t="s">
        <v>70</v>
      </c>
      <c r="M42" s="11" t="s">
        <v>71</v>
      </c>
      <c r="N42" s="11" t="s">
        <v>72</v>
      </c>
      <c r="O42" s="11" t="s">
        <v>19</v>
      </c>
      <c r="P42" s="13"/>
      <c r="Q42" s="13"/>
      <c r="R42" s="13"/>
      <c r="S42" s="13"/>
      <c r="T42" s="11" t="s">
        <v>19</v>
      </c>
      <c r="U42" s="13"/>
      <c r="V42" s="13"/>
      <c r="W42" s="13"/>
      <c r="X42" s="13"/>
      <c r="Y42" s="13"/>
      <c r="Z42" s="13"/>
      <c r="AA42" s="13"/>
    </row>
    <row r="43" spans="1:27" ht="30" x14ac:dyDescent="0.25">
      <c r="A43" s="11" t="s">
        <v>1532</v>
      </c>
      <c r="B43" s="12" t="s">
        <v>1370</v>
      </c>
      <c r="C43" s="11" t="s">
        <v>418</v>
      </c>
      <c r="D43" s="11" t="s">
        <v>1520</v>
      </c>
      <c r="E43" s="11" t="s">
        <v>1533</v>
      </c>
      <c r="F43" s="11" t="s">
        <v>237</v>
      </c>
      <c r="G43" s="11" t="s">
        <v>75</v>
      </c>
      <c r="H43" s="11"/>
      <c r="I43" s="11" t="s">
        <v>1534</v>
      </c>
      <c r="J43" s="11" t="s">
        <v>1535</v>
      </c>
      <c r="K43" s="11"/>
      <c r="L43" s="11" t="s">
        <v>70</v>
      </c>
      <c r="M43" s="11" t="s">
        <v>71</v>
      </c>
      <c r="N43" s="11" t="s">
        <v>72</v>
      </c>
      <c r="O43" s="11" t="s">
        <v>19</v>
      </c>
      <c r="P43" s="13"/>
      <c r="Q43" s="13"/>
      <c r="R43" s="13"/>
      <c r="S43" s="13"/>
      <c r="T43" s="11" t="s">
        <v>19</v>
      </c>
      <c r="U43" s="13"/>
      <c r="V43" s="13"/>
      <c r="W43" s="13"/>
      <c r="X43" s="13"/>
      <c r="Y43" s="13"/>
      <c r="Z43" s="13"/>
      <c r="AA43" s="13"/>
    </row>
    <row r="44" spans="1:27" ht="45" x14ac:dyDescent="0.25">
      <c r="A44" s="11" t="s">
        <v>1536</v>
      </c>
      <c r="B44" s="12" t="s">
        <v>1370</v>
      </c>
      <c r="C44" s="11" t="s">
        <v>418</v>
      </c>
      <c r="D44" s="11" t="s">
        <v>1520</v>
      </c>
      <c r="E44" s="11" t="s">
        <v>1537</v>
      </c>
      <c r="F44" s="11" t="s">
        <v>237</v>
      </c>
      <c r="G44" s="11" t="s">
        <v>75</v>
      </c>
      <c r="H44" s="11"/>
      <c r="I44" s="11" t="s">
        <v>1538</v>
      </c>
      <c r="J44" s="11" t="s">
        <v>1539</v>
      </c>
      <c r="K44" s="11"/>
      <c r="L44" s="11" t="s">
        <v>70</v>
      </c>
      <c r="M44" s="11" t="s">
        <v>71</v>
      </c>
      <c r="N44" s="11" t="s">
        <v>72</v>
      </c>
      <c r="O44" s="11" t="s">
        <v>19</v>
      </c>
      <c r="P44" s="13"/>
      <c r="Q44" s="13"/>
      <c r="R44" s="13"/>
      <c r="S44" s="13"/>
      <c r="T44" s="11" t="s">
        <v>19</v>
      </c>
      <c r="U44" s="13"/>
      <c r="V44" s="13"/>
      <c r="W44" s="13"/>
      <c r="X44" s="13"/>
      <c r="Y44" s="13"/>
      <c r="Z44" s="13"/>
      <c r="AA44" s="13"/>
    </row>
    <row r="45" spans="1:27" ht="45" x14ac:dyDescent="0.25">
      <c r="A45" s="11" t="s">
        <v>1540</v>
      </c>
      <c r="B45" s="12" t="s">
        <v>1370</v>
      </c>
      <c r="C45" s="11" t="s">
        <v>418</v>
      </c>
      <c r="D45" s="11" t="s">
        <v>1520</v>
      </c>
      <c r="E45" s="11" t="s">
        <v>1541</v>
      </c>
      <c r="F45" s="11" t="s">
        <v>237</v>
      </c>
      <c r="G45" s="11" t="s">
        <v>75</v>
      </c>
      <c r="H45" s="11"/>
      <c r="I45" s="11" t="s">
        <v>1542</v>
      </c>
      <c r="J45" s="11" t="s">
        <v>1543</v>
      </c>
      <c r="K45" s="11"/>
      <c r="L45" s="11" t="s">
        <v>70</v>
      </c>
      <c r="M45" s="11" t="s">
        <v>71</v>
      </c>
      <c r="N45" s="11" t="s">
        <v>72</v>
      </c>
      <c r="O45" s="11" t="s">
        <v>19</v>
      </c>
      <c r="P45" s="13"/>
      <c r="Q45" s="13"/>
      <c r="R45" s="13"/>
      <c r="S45" s="13"/>
      <c r="T45" s="11" t="s">
        <v>19</v>
      </c>
      <c r="U45" s="13"/>
      <c r="V45" s="13"/>
      <c r="W45" s="13"/>
      <c r="X45" s="13"/>
      <c r="Y45" s="13"/>
      <c r="Z45" s="13"/>
      <c r="AA45" s="13"/>
    </row>
    <row r="46" spans="1:27" ht="30" x14ac:dyDescent="0.25">
      <c r="A46" s="11" t="s">
        <v>1544</v>
      </c>
      <c r="B46" s="12" t="s">
        <v>1370</v>
      </c>
      <c r="C46" s="11" t="s">
        <v>418</v>
      </c>
      <c r="D46" s="11" t="s">
        <v>1458</v>
      </c>
      <c r="E46" s="11" t="s">
        <v>1545</v>
      </c>
      <c r="F46" s="11" t="s">
        <v>237</v>
      </c>
      <c r="G46" s="11" t="s">
        <v>75</v>
      </c>
      <c r="H46" s="11"/>
      <c r="I46" s="11" t="s">
        <v>1546</v>
      </c>
      <c r="J46" s="11" t="s">
        <v>1547</v>
      </c>
      <c r="K46" s="11"/>
      <c r="L46" s="11" t="s">
        <v>70</v>
      </c>
      <c r="M46" s="11" t="s">
        <v>71</v>
      </c>
      <c r="N46" s="11" t="s">
        <v>72</v>
      </c>
      <c r="O46" s="11" t="s">
        <v>19</v>
      </c>
      <c r="P46" s="13"/>
      <c r="Q46" s="13"/>
      <c r="R46" s="13"/>
      <c r="S46" s="13"/>
      <c r="T46" s="11" t="s">
        <v>19</v>
      </c>
      <c r="U46" s="13"/>
      <c r="V46" s="13"/>
      <c r="W46" s="13"/>
      <c r="X46" s="13"/>
      <c r="Y46" s="13"/>
      <c r="Z46" s="13"/>
      <c r="AA46" s="13"/>
    </row>
    <row r="47" spans="1:27" ht="30" x14ac:dyDescent="0.25">
      <c r="A47" s="11" t="s">
        <v>1548</v>
      </c>
      <c r="B47" s="12" t="s">
        <v>1370</v>
      </c>
      <c r="C47" s="11" t="s">
        <v>418</v>
      </c>
      <c r="D47" s="11" t="s">
        <v>1458</v>
      </c>
      <c r="E47" s="11" t="s">
        <v>1549</v>
      </c>
      <c r="F47" s="11" t="s">
        <v>237</v>
      </c>
      <c r="G47" s="11" t="s">
        <v>75</v>
      </c>
      <c r="H47" s="11"/>
      <c r="I47" s="11" t="s">
        <v>1550</v>
      </c>
      <c r="J47" s="11" t="s">
        <v>1551</v>
      </c>
      <c r="K47" s="11"/>
      <c r="L47" s="11" t="s">
        <v>70</v>
      </c>
      <c r="M47" s="11" t="s">
        <v>71</v>
      </c>
      <c r="N47" s="11" t="s">
        <v>72</v>
      </c>
      <c r="O47" s="11" t="s">
        <v>19</v>
      </c>
      <c r="P47" s="13"/>
      <c r="Q47" s="13"/>
      <c r="R47" s="13"/>
      <c r="S47" s="13"/>
      <c r="T47" s="11" t="s">
        <v>19</v>
      </c>
      <c r="U47" s="13"/>
      <c r="V47" s="13"/>
      <c r="W47" s="13"/>
      <c r="X47" s="13"/>
      <c r="Y47" s="13"/>
      <c r="Z47" s="13"/>
      <c r="AA47" s="13"/>
    </row>
    <row r="48" spans="1:27" ht="30" x14ac:dyDescent="0.25">
      <c r="A48" s="11" t="s">
        <v>1552</v>
      </c>
      <c r="B48" s="12" t="s">
        <v>1370</v>
      </c>
      <c r="C48" s="11" t="s">
        <v>418</v>
      </c>
      <c r="D48" s="11" t="s">
        <v>1458</v>
      </c>
      <c r="E48" s="11" t="s">
        <v>1553</v>
      </c>
      <c r="F48" s="11" t="s">
        <v>237</v>
      </c>
      <c r="G48" s="11" t="s">
        <v>75</v>
      </c>
      <c r="H48" s="11"/>
      <c r="I48" s="11" t="s">
        <v>1554</v>
      </c>
      <c r="J48" s="11" t="s">
        <v>1555</v>
      </c>
      <c r="K48" s="11"/>
      <c r="L48" s="11" t="s">
        <v>70</v>
      </c>
      <c r="M48" s="11" t="s">
        <v>71</v>
      </c>
      <c r="N48" s="11" t="s">
        <v>72</v>
      </c>
      <c r="O48" s="11" t="s">
        <v>19</v>
      </c>
      <c r="P48" s="13"/>
      <c r="Q48" s="13"/>
      <c r="R48" s="13"/>
      <c r="S48" s="13"/>
      <c r="T48" s="11" t="s">
        <v>19</v>
      </c>
      <c r="U48" s="13"/>
      <c r="V48" s="13"/>
      <c r="W48" s="13"/>
      <c r="X48" s="13"/>
      <c r="Y48" s="13"/>
      <c r="Z48" s="13"/>
      <c r="AA48" s="13"/>
    </row>
    <row r="49" spans="1:27" ht="30" x14ac:dyDescent="0.25">
      <c r="A49" s="11" t="s">
        <v>1556</v>
      </c>
      <c r="B49" s="12" t="s">
        <v>1370</v>
      </c>
      <c r="C49" s="11" t="s">
        <v>418</v>
      </c>
      <c r="D49" s="11" t="s">
        <v>1458</v>
      </c>
      <c r="E49" s="11" t="s">
        <v>1557</v>
      </c>
      <c r="F49" s="11" t="s">
        <v>237</v>
      </c>
      <c r="G49" s="11" t="s">
        <v>94</v>
      </c>
      <c r="H49" s="11"/>
      <c r="I49" s="11" t="s">
        <v>1558</v>
      </c>
      <c r="J49" s="11" t="s">
        <v>1559</v>
      </c>
      <c r="K49" s="11"/>
      <c r="L49" s="11" t="s">
        <v>70</v>
      </c>
      <c r="M49" s="11" t="s">
        <v>71</v>
      </c>
      <c r="N49" s="11" t="s">
        <v>72</v>
      </c>
      <c r="O49" s="11" t="s">
        <v>19</v>
      </c>
      <c r="P49" s="13"/>
      <c r="Q49" s="13"/>
      <c r="R49" s="13"/>
      <c r="S49" s="13"/>
      <c r="T49" s="11" t="s">
        <v>19</v>
      </c>
      <c r="U49" s="13"/>
      <c r="V49" s="13"/>
      <c r="W49" s="13"/>
      <c r="X49" s="13"/>
      <c r="Y49" s="13"/>
      <c r="Z49" s="13"/>
      <c r="AA49" s="13"/>
    </row>
    <row r="50" spans="1:27" ht="45" x14ac:dyDescent="0.25">
      <c r="A50" s="11" t="s">
        <v>1560</v>
      </c>
      <c r="B50" s="12" t="s">
        <v>1370</v>
      </c>
      <c r="C50" s="11" t="s">
        <v>418</v>
      </c>
      <c r="D50" s="11" t="s">
        <v>1561</v>
      </c>
      <c r="E50" s="11" t="s">
        <v>1562</v>
      </c>
      <c r="F50" s="11" t="s">
        <v>237</v>
      </c>
      <c r="G50" s="11" t="s">
        <v>75</v>
      </c>
      <c r="H50" s="11"/>
      <c r="I50" s="11" t="s">
        <v>1563</v>
      </c>
      <c r="J50" s="11" t="s">
        <v>1564</v>
      </c>
      <c r="K50" s="11"/>
      <c r="L50" s="11" t="s">
        <v>70</v>
      </c>
      <c r="M50" s="11" t="s">
        <v>71</v>
      </c>
      <c r="N50" s="11" t="s">
        <v>72</v>
      </c>
      <c r="O50" s="11" t="s">
        <v>19</v>
      </c>
      <c r="P50" s="13"/>
      <c r="Q50" s="13"/>
      <c r="R50" s="13"/>
      <c r="S50" s="13"/>
      <c r="T50" s="11" t="s">
        <v>19</v>
      </c>
      <c r="U50" s="13"/>
      <c r="V50" s="13"/>
      <c r="W50" s="13"/>
      <c r="X50" s="13"/>
      <c r="Y50" s="13"/>
      <c r="Z50" s="13"/>
      <c r="AA50" s="13"/>
    </row>
    <row r="51" spans="1:27" ht="45" x14ac:dyDescent="0.25">
      <c r="A51" s="11" t="s">
        <v>1565</v>
      </c>
      <c r="B51" s="12" t="s">
        <v>1370</v>
      </c>
      <c r="C51" s="11" t="s">
        <v>418</v>
      </c>
      <c r="D51" s="11" t="s">
        <v>1561</v>
      </c>
      <c r="E51" s="11" t="s">
        <v>1566</v>
      </c>
      <c r="F51" s="11" t="s">
        <v>237</v>
      </c>
      <c r="G51" s="11" t="s">
        <v>75</v>
      </c>
      <c r="H51" s="11"/>
      <c r="I51" s="11" t="s">
        <v>1567</v>
      </c>
      <c r="J51" s="11" t="s">
        <v>1568</v>
      </c>
      <c r="K51" s="11"/>
      <c r="L51" s="11" t="s">
        <v>70</v>
      </c>
      <c r="M51" s="11" t="s">
        <v>71</v>
      </c>
      <c r="N51" s="11" t="s">
        <v>72</v>
      </c>
      <c r="O51" s="11" t="s">
        <v>19</v>
      </c>
      <c r="P51" s="13"/>
      <c r="Q51" s="13"/>
      <c r="R51" s="13"/>
      <c r="S51" s="13"/>
      <c r="T51" s="11" t="s">
        <v>19</v>
      </c>
      <c r="U51" s="13"/>
      <c r="V51" s="13"/>
      <c r="W51" s="13"/>
      <c r="X51" s="13"/>
      <c r="Y51" s="13"/>
      <c r="Z51" s="13"/>
      <c r="AA51" s="13"/>
    </row>
    <row r="52" spans="1:27" ht="60" x14ac:dyDescent="0.25">
      <c r="A52" s="11" t="s">
        <v>1569</v>
      </c>
      <c r="B52" s="12" t="s">
        <v>1370</v>
      </c>
      <c r="C52" s="11" t="s">
        <v>418</v>
      </c>
      <c r="D52" s="11" t="s">
        <v>1570</v>
      </c>
      <c r="E52" s="11" t="s">
        <v>1571</v>
      </c>
      <c r="F52" s="11" t="s">
        <v>237</v>
      </c>
      <c r="G52" s="11" t="s">
        <v>94</v>
      </c>
      <c r="H52" s="11"/>
      <c r="I52" s="11" t="s">
        <v>1572</v>
      </c>
      <c r="J52" s="11" t="s">
        <v>1573</v>
      </c>
      <c r="K52" s="11"/>
      <c r="L52" s="11" t="s">
        <v>70</v>
      </c>
      <c r="M52" s="11" t="s">
        <v>71</v>
      </c>
      <c r="N52" s="11" t="s">
        <v>72</v>
      </c>
      <c r="O52" s="11" t="s">
        <v>19</v>
      </c>
      <c r="P52" s="13"/>
      <c r="Q52" s="13"/>
      <c r="R52" s="13"/>
      <c r="S52" s="13"/>
      <c r="T52" s="11" t="s">
        <v>19</v>
      </c>
      <c r="U52" s="13"/>
      <c r="V52" s="13"/>
      <c r="W52" s="13"/>
      <c r="X52" s="13"/>
      <c r="Y52" s="13"/>
      <c r="Z52" s="13"/>
      <c r="AA52" s="13"/>
    </row>
    <row r="53" spans="1:27" ht="45" x14ac:dyDescent="0.25">
      <c r="A53" s="11" t="s">
        <v>1574</v>
      </c>
      <c r="B53" s="12" t="s">
        <v>1370</v>
      </c>
      <c r="C53" s="11" t="s">
        <v>418</v>
      </c>
      <c r="D53" s="11" t="s">
        <v>1570</v>
      </c>
      <c r="E53" s="11" t="s">
        <v>1575</v>
      </c>
      <c r="F53" s="11" t="s">
        <v>237</v>
      </c>
      <c r="G53" s="11" t="s">
        <v>94</v>
      </c>
      <c r="H53" s="11"/>
      <c r="I53" s="11" t="s">
        <v>1576</v>
      </c>
      <c r="J53" s="11" t="s">
        <v>1577</v>
      </c>
      <c r="K53" s="11"/>
      <c r="L53" s="11" t="s">
        <v>70</v>
      </c>
      <c r="M53" s="11" t="s">
        <v>71</v>
      </c>
      <c r="N53" s="11" t="s">
        <v>72</v>
      </c>
      <c r="O53" s="11" t="s">
        <v>19</v>
      </c>
      <c r="P53" s="13"/>
      <c r="Q53" s="13"/>
      <c r="R53" s="13"/>
      <c r="S53" s="13"/>
      <c r="T53" s="11" t="s">
        <v>19</v>
      </c>
      <c r="U53" s="13"/>
      <c r="V53" s="13"/>
      <c r="W53" s="13"/>
      <c r="X53" s="13"/>
      <c r="Y53" s="13"/>
      <c r="Z53" s="13"/>
      <c r="AA53" s="13"/>
    </row>
    <row r="54" spans="1:27" ht="60" x14ac:dyDescent="0.25">
      <c r="A54" s="11" t="s">
        <v>1578</v>
      </c>
      <c r="B54" s="12" t="s">
        <v>1370</v>
      </c>
      <c r="C54" s="11" t="s">
        <v>418</v>
      </c>
      <c r="D54" s="11" t="s">
        <v>1463</v>
      </c>
      <c r="E54" s="11" t="s">
        <v>1579</v>
      </c>
      <c r="F54" s="11" t="s">
        <v>237</v>
      </c>
      <c r="G54" s="11" t="s">
        <v>67</v>
      </c>
      <c r="H54" s="11"/>
      <c r="I54" s="11" t="s">
        <v>1580</v>
      </c>
      <c r="J54" s="11" t="s">
        <v>1581</v>
      </c>
      <c r="K54" s="11"/>
      <c r="L54" s="11" t="s">
        <v>70</v>
      </c>
      <c r="M54" s="11" t="s">
        <v>71</v>
      </c>
      <c r="N54" s="11" t="s">
        <v>72</v>
      </c>
      <c r="O54" s="11" t="s">
        <v>19</v>
      </c>
      <c r="P54" s="13"/>
      <c r="Q54" s="13"/>
      <c r="R54" s="13"/>
      <c r="S54" s="13"/>
      <c r="T54" s="11" t="s">
        <v>19</v>
      </c>
      <c r="U54" s="13"/>
      <c r="V54" s="13"/>
      <c r="W54" s="13"/>
      <c r="X54" s="13"/>
      <c r="Y54" s="13"/>
      <c r="Z54" s="13"/>
      <c r="AA54" s="13"/>
    </row>
    <row r="55" spans="1:27" ht="45" x14ac:dyDescent="0.25">
      <c r="A55" s="11" t="s">
        <v>1582</v>
      </c>
      <c r="B55" s="12" t="s">
        <v>1370</v>
      </c>
      <c r="C55" s="11" t="s">
        <v>418</v>
      </c>
      <c r="D55" s="11" t="s">
        <v>1388</v>
      </c>
      <c r="E55" s="11" t="s">
        <v>1583</v>
      </c>
      <c r="F55" s="11" t="s">
        <v>237</v>
      </c>
      <c r="G55" s="11" t="s">
        <v>67</v>
      </c>
      <c r="H55" s="11"/>
      <c r="I55" s="11" t="s">
        <v>1584</v>
      </c>
      <c r="J55" s="11" t="s">
        <v>1585</v>
      </c>
      <c r="K55" s="11"/>
      <c r="L55" s="11" t="s">
        <v>70</v>
      </c>
      <c r="M55" s="11" t="s">
        <v>71</v>
      </c>
      <c r="N55" s="11" t="s">
        <v>72</v>
      </c>
      <c r="O55" s="11" t="s">
        <v>19</v>
      </c>
      <c r="P55" s="13"/>
      <c r="Q55" s="13"/>
      <c r="R55" s="13"/>
      <c r="S55" s="13"/>
      <c r="T55" s="11" t="s">
        <v>19</v>
      </c>
      <c r="U55" s="13"/>
      <c r="V55" s="13"/>
      <c r="W55" s="13"/>
      <c r="X55" s="13"/>
      <c r="Y55" s="13"/>
      <c r="Z55" s="13"/>
      <c r="AA55" s="13"/>
    </row>
    <row r="56" spans="1:27" ht="60" x14ac:dyDescent="0.25">
      <c r="A56" s="11" t="s">
        <v>1586</v>
      </c>
      <c r="B56" s="12" t="s">
        <v>1370</v>
      </c>
      <c r="C56" s="11" t="s">
        <v>418</v>
      </c>
      <c r="D56" s="11" t="s">
        <v>1587</v>
      </c>
      <c r="E56" s="11" t="s">
        <v>1588</v>
      </c>
      <c r="F56" s="11" t="s">
        <v>237</v>
      </c>
      <c r="G56" s="11" t="s">
        <v>75</v>
      </c>
      <c r="H56" s="11"/>
      <c r="I56" s="11" t="s">
        <v>1589</v>
      </c>
      <c r="J56" s="11" t="s">
        <v>1590</v>
      </c>
      <c r="K56" s="11"/>
      <c r="L56" s="11" t="s">
        <v>70</v>
      </c>
      <c r="M56" s="11" t="s">
        <v>71</v>
      </c>
      <c r="N56" s="11" t="s">
        <v>72</v>
      </c>
      <c r="O56" s="11" t="s">
        <v>19</v>
      </c>
      <c r="P56" s="13"/>
      <c r="Q56" s="13"/>
      <c r="R56" s="13"/>
      <c r="S56" s="13"/>
      <c r="T56" s="11" t="s">
        <v>19</v>
      </c>
      <c r="U56" s="13"/>
      <c r="V56" s="13"/>
      <c r="W56" s="13"/>
      <c r="X56" s="13"/>
      <c r="Y56" s="13"/>
      <c r="Z56" s="13"/>
      <c r="AA56" s="13"/>
    </row>
    <row r="57" spans="1:27" ht="45" x14ac:dyDescent="0.25">
      <c r="A57" s="11" t="s">
        <v>1591</v>
      </c>
      <c r="B57" s="12" t="s">
        <v>1370</v>
      </c>
      <c r="C57" s="11" t="s">
        <v>418</v>
      </c>
      <c r="D57" s="11" t="s">
        <v>1393</v>
      </c>
      <c r="E57" s="11" t="s">
        <v>1592</v>
      </c>
      <c r="F57" s="11" t="s">
        <v>237</v>
      </c>
      <c r="G57" s="11" t="s">
        <v>67</v>
      </c>
      <c r="H57" s="11"/>
      <c r="I57" s="11" t="s">
        <v>1593</v>
      </c>
      <c r="J57" s="11" t="s">
        <v>1594</v>
      </c>
      <c r="K57" s="11"/>
      <c r="L57" s="11" t="s">
        <v>70</v>
      </c>
      <c r="M57" s="11" t="s">
        <v>71</v>
      </c>
      <c r="N57" s="11" t="s">
        <v>72</v>
      </c>
      <c r="O57" s="11" t="s">
        <v>19</v>
      </c>
      <c r="P57" s="13"/>
      <c r="Q57" s="13"/>
      <c r="R57" s="13"/>
      <c r="S57" s="13"/>
      <c r="T57" s="11" t="s">
        <v>19</v>
      </c>
      <c r="U57" s="13"/>
      <c r="V57" s="13"/>
      <c r="W57" s="13"/>
      <c r="X57" s="13"/>
      <c r="Y57" s="13"/>
      <c r="Z57" s="13"/>
      <c r="AA57" s="13"/>
    </row>
    <row r="58" spans="1:27" ht="60" x14ac:dyDescent="0.25">
      <c r="A58" s="11" t="s">
        <v>1595</v>
      </c>
      <c r="B58" s="12" t="s">
        <v>1370</v>
      </c>
      <c r="C58" s="11" t="s">
        <v>418</v>
      </c>
      <c r="D58" s="11" t="s">
        <v>1393</v>
      </c>
      <c r="E58" s="11" t="s">
        <v>1596</v>
      </c>
      <c r="F58" s="11" t="s">
        <v>237</v>
      </c>
      <c r="G58" s="11" t="s">
        <v>67</v>
      </c>
      <c r="H58" s="11"/>
      <c r="I58" s="11" t="s">
        <v>1597</v>
      </c>
      <c r="J58" s="11" t="s">
        <v>1598</v>
      </c>
      <c r="K58" s="11"/>
      <c r="L58" s="11" t="s">
        <v>70</v>
      </c>
      <c r="M58" s="11" t="s">
        <v>71</v>
      </c>
      <c r="N58" s="11" t="s">
        <v>72</v>
      </c>
      <c r="O58" s="11" t="s">
        <v>19</v>
      </c>
      <c r="P58" s="13"/>
      <c r="Q58" s="13"/>
      <c r="R58" s="13"/>
      <c r="S58" s="13"/>
      <c r="T58" s="11" t="s">
        <v>19</v>
      </c>
      <c r="U58" s="13"/>
      <c r="V58" s="13"/>
      <c r="W58" s="13"/>
      <c r="X58" s="13"/>
      <c r="Y58" s="13"/>
      <c r="Z58" s="13"/>
      <c r="AA58" s="13"/>
    </row>
    <row r="59" spans="1:27" ht="45" x14ac:dyDescent="0.25">
      <c r="A59" s="11" t="s">
        <v>1599</v>
      </c>
      <c r="B59" s="12" t="s">
        <v>1370</v>
      </c>
      <c r="C59" s="11" t="s">
        <v>411</v>
      </c>
      <c r="D59" s="11" t="s">
        <v>1393</v>
      </c>
      <c r="E59" s="11" t="s">
        <v>1600</v>
      </c>
      <c r="F59" s="11" t="s">
        <v>237</v>
      </c>
      <c r="G59" s="11" t="s">
        <v>75</v>
      </c>
      <c r="H59" s="11"/>
      <c r="I59" s="11" t="s">
        <v>1601</v>
      </c>
      <c r="J59" s="11" t="s">
        <v>1602</v>
      </c>
      <c r="K59" s="11"/>
      <c r="L59" s="11" t="s">
        <v>70</v>
      </c>
      <c r="M59" s="11" t="s">
        <v>71</v>
      </c>
      <c r="N59" s="11" t="s">
        <v>72</v>
      </c>
      <c r="O59" s="11" t="s">
        <v>19</v>
      </c>
      <c r="P59" s="13"/>
      <c r="Q59" s="13"/>
      <c r="R59" s="13"/>
      <c r="S59" s="13"/>
      <c r="T59" s="11" t="s">
        <v>19</v>
      </c>
      <c r="U59" s="13"/>
      <c r="V59" s="13"/>
      <c r="W59" s="13"/>
      <c r="X59" s="13"/>
      <c r="Y59" s="13"/>
      <c r="Z59" s="13"/>
      <c r="AA59" s="13"/>
    </row>
    <row r="60" spans="1:27" ht="45" x14ac:dyDescent="0.25">
      <c r="A60" s="11" t="s">
        <v>1603</v>
      </c>
      <c r="B60" s="12" t="s">
        <v>1370</v>
      </c>
      <c r="C60" s="11" t="s">
        <v>418</v>
      </c>
      <c r="D60" s="11" t="s">
        <v>1393</v>
      </c>
      <c r="E60" s="11" t="s">
        <v>1604</v>
      </c>
      <c r="F60" s="11" t="s">
        <v>237</v>
      </c>
      <c r="G60" s="11" t="s">
        <v>75</v>
      </c>
      <c r="H60" s="11"/>
      <c r="I60" s="11" t="s">
        <v>1605</v>
      </c>
      <c r="J60" s="11" t="s">
        <v>1606</v>
      </c>
      <c r="K60" s="11"/>
      <c r="L60" s="11" t="s">
        <v>70</v>
      </c>
      <c r="M60" s="11" t="s">
        <v>71</v>
      </c>
      <c r="N60" s="11" t="s">
        <v>72</v>
      </c>
      <c r="O60" s="11" t="s">
        <v>19</v>
      </c>
      <c r="P60" s="13"/>
      <c r="Q60" s="13"/>
      <c r="R60" s="13"/>
      <c r="S60" s="13"/>
      <c r="T60" s="11" t="s">
        <v>19</v>
      </c>
      <c r="U60" s="13"/>
      <c r="V60" s="13"/>
      <c r="W60" s="13"/>
      <c r="X60" s="13"/>
      <c r="Y60" s="13"/>
      <c r="Z60" s="13"/>
      <c r="AA60" s="13"/>
    </row>
    <row r="61" spans="1:27" ht="45" x14ac:dyDescent="0.25">
      <c r="A61" s="11" t="s">
        <v>1607</v>
      </c>
      <c r="B61" s="12" t="s">
        <v>1370</v>
      </c>
      <c r="C61" s="11" t="s">
        <v>418</v>
      </c>
      <c r="D61" s="11" t="s">
        <v>1393</v>
      </c>
      <c r="E61" s="11" t="s">
        <v>1608</v>
      </c>
      <c r="F61" s="11" t="s">
        <v>237</v>
      </c>
      <c r="G61" s="11" t="s">
        <v>75</v>
      </c>
      <c r="H61" s="11"/>
      <c r="I61" s="11" t="s">
        <v>1609</v>
      </c>
      <c r="J61" s="11" t="s">
        <v>1610</v>
      </c>
      <c r="K61" s="11"/>
      <c r="L61" s="11" t="s">
        <v>70</v>
      </c>
      <c r="M61" s="11" t="s">
        <v>71</v>
      </c>
      <c r="N61" s="11" t="s">
        <v>72</v>
      </c>
      <c r="O61" s="11" t="s">
        <v>19</v>
      </c>
      <c r="P61" s="13"/>
      <c r="Q61" s="13"/>
      <c r="R61" s="13"/>
      <c r="S61" s="13"/>
      <c r="T61" s="11" t="s">
        <v>19</v>
      </c>
      <c r="U61" s="13"/>
      <c r="V61" s="13"/>
      <c r="W61" s="13"/>
      <c r="X61" s="13"/>
      <c r="Y61" s="13"/>
      <c r="Z61" s="13"/>
      <c r="AA61" s="13"/>
    </row>
    <row r="62" spans="1:27" ht="45" x14ac:dyDescent="0.25">
      <c r="A62" s="11" t="s">
        <v>1611</v>
      </c>
      <c r="B62" s="12" t="s">
        <v>1370</v>
      </c>
      <c r="C62" s="11" t="s">
        <v>418</v>
      </c>
      <c r="D62" s="11" t="s">
        <v>1393</v>
      </c>
      <c r="E62" s="11" t="s">
        <v>1612</v>
      </c>
      <c r="F62" s="11" t="s">
        <v>237</v>
      </c>
      <c r="G62" s="11" t="s">
        <v>75</v>
      </c>
      <c r="H62" s="11"/>
      <c r="I62" s="11" t="s">
        <v>1613</v>
      </c>
      <c r="J62" s="11" t="s">
        <v>1614</v>
      </c>
      <c r="K62" s="11"/>
      <c r="L62" s="11" t="s">
        <v>70</v>
      </c>
      <c r="M62" s="11" t="s">
        <v>71</v>
      </c>
      <c r="N62" s="11" t="s">
        <v>72</v>
      </c>
      <c r="O62" s="11" t="s">
        <v>19</v>
      </c>
      <c r="P62" s="13"/>
      <c r="Q62" s="13"/>
      <c r="R62" s="13"/>
      <c r="S62" s="13"/>
      <c r="T62" s="11" t="s">
        <v>19</v>
      </c>
      <c r="U62" s="13"/>
      <c r="V62" s="13"/>
      <c r="W62" s="13"/>
      <c r="X62" s="13"/>
      <c r="Y62" s="13"/>
      <c r="Z62" s="13"/>
      <c r="AA62" s="13"/>
    </row>
    <row r="63" spans="1:27" ht="45" x14ac:dyDescent="0.25">
      <c r="A63" s="11" t="s">
        <v>1615</v>
      </c>
      <c r="B63" s="12" t="s">
        <v>1370</v>
      </c>
      <c r="C63" s="11" t="s">
        <v>418</v>
      </c>
      <c r="D63" s="11" t="s">
        <v>1393</v>
      </c>
      <c r="E63" s="11" t="s">
        <v>1616</v>
      </c>
      <c r="F63" s="11" t="s">
        <v>237</v>
      </c>
      <c r="G63" s="11" t="s">
        <v>75</v>
      </c>
      <c r="H63" s="11"/>
      <c r="I63" s="11" t="s">
        <v>1617</v>
      </c>
      <c r="J63" s="11" t="s">
        <v>1618</v>
      </c>
      <c r="K63" s="11"/>
      <c r="L63" s="11" t="s">
        <v>70</v>
      </c>
      <c r="M63" s="11" t="s">
        <v>71</v>
      </c>
      <c r="N63" s="11" t="s">
        <v>72</v>
      </c>
      <c r="O63" s="11" t="s">
        <v>19</v>
      </c>
      <c r="P63" s="13"/>
      <c r="Q63" s="13"/>
      <c r="R63" s="13"/>
      <c r="S63" s="13"/>
      <c r="T63" s="11" t="s">
        <v>19</v>
      </c>
      <c r="U63" s="13"/>
      <c r="V63" s="13"/>
      <c r="W63" s="13"/>
      <c r="X63" s="13"/>
      <c r="Y63" s="13"/>
      <c r="Z63" s="13"/>
      <c r="AA63" s="13"/>
    </row>
    <row r="64" spans="1:27" ht="45" x14ac:dyDescent="0.25">
      <c r="A64" s="11" t="s">
        <v>1619</v>
      </c>
      <c r="B64" s="12" t="s">
        <v>1370</v>
      </c>
      <c r="C64" s="11" t="s">
        <v>418</v>
      </c>
      <c r="D64" s="11" t="s">
        <v>1393</v>
      </c>
      <c r="E64" s="11" t="s">
        <v>1620</v>
      </c>
      <c r="F64" s="11" t="s">
        <v>237</v>
      </c>
      <c r="G64" s="11" t="s">
        <v>75</v>
      </c>
      <c r="H64" s="11"/>
      <c r="I64" s="11" t="s">
        <v>1621</v>
      </c>
      <c r="J64" s="11" t="s">
        <v>1622</v>
      </c>
      <c r="K64" s="11"/>
      <c r="L64" s="11" t="s">
        <v>70</v>
      </c>
      <c r="M64" s="11" t="s">
        <v>71</v>
      </c>
      <c r="N64" s="11" t="s">
        <v>72</v>
      </c>
      <c r="O64" s="11" t="s">
        <v>19</v>
      </c>
      <c r="P64" s="13"/>
      <c r="Q64" s="13"/>
      <c r="R64" s="13"/>
      <c r="S64" s="13"/>
      <c r="T64" s="11" t="s">
        <v>19</v>
      </c>
      <c r="U64" s="13"/>
      <c r="V64" s="13"/>
      <c r="W64" s="13"/>
      <c r="X64" s="13"/>
      <c r="Y64" s="13"/>
      <c r="Z64" s="13"/>
      <c r="AA64" s="13"/>
    </row>
    <row r="65" spans="1:27" ht="30" x14ac:dyDescent="0.25">
      <c r="A65" s="11" t="s">
        <v>1623</v>
      </c>
      <c r="B65" s="12" t="s">
        <v>1406</v>
      </c>
      <c r="C65" s="11" t="s">
        <v>1480</v>
      </c>
      <c r="D65" s="11" t="s">
        <v>1481</v>
      </c>
      <c r="E65" s="11" t="s">
        <v>1624</v>
      </c>
      <c r="F65" s="11" t="s">
        <v>237</v>
      </c>
      <c r="G65" s="11" t="s">
        <v>67</v>
      </c>
      <c r="H65" s="11"/>
      <c r="I65" s="11" t="s">
        <v>1625</v>
      </c>
      <c r="J65" s="11" t="s">
        <v>1626</v>
      </c>
      <c r="K65" s="11"/>
      <c r="L65" s="11" t="s">
        <v>70</v>
      </c>
      <c r="M65" s="11" t="s">
        <v>71</v>
      </c>
      <c r="N65" s="11" t="s">
        <v>72</v>
      </c>
      <c r="O65" s="11" t="s">
        <v>19</v>
      </c>
      <c r="P65" s="13"/>
      <c r="Q65" s="13"/>
      <c r="R65" s="13"/>
      <c r="S65" s="13"/>
      <c r="T65" s="11" t="s">
        <v>19</v>
      </c>
      <c r="U65" s="13"/>
      <c r="V65" s="13"/>
      <c r="W65" s="13"/>
      <c r="X65" s="13"/>
      <c r="Y65" s="13"/>
      <c r="Z65" s="13"/>
      <c r="AA65" s="13"/>
    </row>
    <row r="66" spans="1:27" ht="45" x14ac:dyDescent="0.25">
      <c r="A66" s="11" t="s">
        <v>1627</v>
      </c>
      <c r="B66" s="12" t="s">
        <v>1406</v>
      </c>
      <c r="C66" s="11" t="s">
        <v>1628</v>
      </c>
      <c r="D66" s="11" t="s">
        <v>1629</v>
      </c>
      <c r="E66" s="11" t="s">
        <v>1630</v>
      </c>
      <c r="F66" s="11" t="s">
        <v>237</v>
      </c>
      <c r="G66" s="11" t="s">
        <v>67</v>
      </c>
      <c r="H66" s="11"/>
      <c r="I66" s="11" t="s">
        <v>1631</v>
      </c>
      <c r="J66" s="11" t="s">
        <v>1632</v>
      </c>
      <c r="K66" s="11"/>
      <c r="L66" s="11" t="s">
        <v>70</v>
      </c>
      <c r="M66" s="11" t="s">
        <v>71</v>
      </c>
      <c r="N66" s="11" t="s">
        <v>72</v>
      </c>
      <c r="O66" s="11" t="s">
        <v>19</v>
      </c>
      <c r="P66" s="13"/>
      <c r="Q66" s="13"/>
      <c r="R66" s="13"/>
      <c r="S66" s="13"/>
      <c r="T66" s="11" t="s">
        <v>19</v>
      </c>
      <c r="U66" s="13"/>
      <c r="V66" s="13"/>
      <c r="W66" s="13"/>
      <c r="X66" s="13"/>
      <c r="Y66" s="13"/>
      <c r="Z66" s="13"/>
      <c r="AA66" s="13"/>
    </row>
    <row r="67" spans="1:27" ht="60" x14ac:dyDescent="0.25">
      <c r="A67" s="11" t="s">
        <v>1633</v>
      </c>
      <c r="B67" s="12" t="s">
        <v>1406</v>
      </c>
      <c r="C67" s="11" t="s">
        <v>1628</v>
      </c>
      <c r="D67" s="11" t="s">
        <v>1629</v>
      </c>
      <c r="E67" s="11" t="s">
        <v>1634</v>
      </c>
      <c r="F67" s="11" t="s">
        <v>237</v>
      </c>
      <c r="G67" s="11" t="s">
        <v>67</v>
      </c>
      <c r="H67" s="11"/>
      <c r="I67" s="11" t="s">
        <v>1635</v>
      </c>
      <c r="J67" s="11" t="s">
        <v>1636</v>
      </c>
      <c r="K67" s="11"/>
      <c r="L67" s="11" t="s">
        <v>70</v>
      </c>
      <c r="M67" s="11" t="s">
        <v>71</v>
      </c>
      <c r="N67" s="11" t="s">
        <v>72</v>
      </c>
      <c r="O67" s="11" t="s">
        <v>19</v>
      </c>
      <c r="P67" s="13"/>
      <c r="Q67" s="13"/>
      <c r="R67" s="13"/>
      <c r="S67" s="13"/>
      <c r="T67" s="11" t="s">
        <v>19</v>
      </c>
      <c r="U67" s="13"/>
      <c r="V67" s="13"/>
      <c r="W67" s="13"/>
      <c r="X67" s="13"/>
      <c r="Y67" s="13"/>
      <c r="Z67" s="13"/>
      <c r="AA67" s="13"/>
    </row>
    <row r="68" spans="1:27" ht="45" x14ac:dyDescent="0.25">
      <c r="A68" s="11" t="s">
        <v>1637</v>
      </c>
      <c r="B68" s="12" t="s">
        <v>1406</v>
      </c>
      <c r="C68" s="11" t="s">
        <v>392</v>
      </c>
      <c r="D68" s="11" t="s">
        <v>1638</v>
      </c>
      <c r="E68" s="11" t="s">
        <v>1639</v>
      </c>
      <c r="F68" s="11" t="s">
        <v>237</v>
      </c>
      <c r="G68" s="11" t="s">
        <v>67</v>
      </c>
      <c r="H68" s="11"/>
      <c r="I68" s="11" t="s">
        <v>1640</v>
      </c>
      <c r="J68" s="11" t="s">
        <v>1641</v>
      </c>
      <c r="K68" s="11"/>
      <c r="L68" s="11" t="s">
        <v>70</v>
      </c>
      <c r="M68" s="11" t="s">
        <v>71</v>
      </c>
      <c r="N68" s="11" t="s">
        <v>72</v>
      </c>
      <c r="O68" s="11" t="s">
        <v>19</v>
      </c>
      <c r="P68" s="13"/>
      <c r="Q68" s="13"/>
      <c r="R68" s="13"/>
      <c r="S68" s="13"/>
      <c r="T68" s="11" t="s">
        <v>19</v>
      </c>
      <c r="U68" s="13"/>
      <c r="V68" s="13"/>
      <c r="W68" s="13"/>
      <c r="X68" s="13"/>
      <c r="Y68" s="13"/>
      <c r="Z68" s="13"/>
      <c r="AA68" s="13"/>
    </row>
    <row r="69" spans="1:27" ht="30" x14ac:dyDescent="0.25">
      <c r="A69" s="11" t="s">
        <v>1642</v>
      </c>
      <c r="B69" s="12" t="s">
        <v>1406</v>
      </c>
      <c r="C69" s="11" t="s">
        <v>392</v>
      </c>
      <c r="D69" s="11" t="s">
        <v>1638</v>
      </c>
      <c r="E69" s="11" t="s">
        <v>1643</v>
      </c>
      <c r="F69" s="11" t="s">
        <v>237</v>
      </c>
      <c r="G69" s="11" t="s">
        <v>67</v>
      </c>
      <c r="H69" s="11"/>
      <c r="I69" s="11" t="s">
        <v>1644</v>
      </c>
      <c r="J69" s="11" t="s">
        <v>1645</v>
      </c>
      <c r="K69" s="11"/>
      <c r="L69" s="11" t="s">
        <v>70</v>
      </c>
      <c r="M69" s="11" t="s">
        <v>71</v>
      </c>
      <c r="N69" s="11" t="s">
        <v>72</v>
      </c>
      <c r="O69" s="11" t="s">
        <v>19</v>
      </c>
      <c r="P69" s="13"/>
      <c r="Q69" s="13"/>
      <c r="R69" s="13"/>
      <c r="S69" s="13"/>
      <c r="T69" s="11" t="s">
        <v>19</v>
      </c>
      <c r="U69" s="13"/>
      <c r="V69" s="13"/>
      <c r="W69" s="13"/>
      <c r="X69" s="13"/>
      <c r="Y69" s="13"/>
      <c r="Z69" s="13"/>
      <c r="AA69" s="13"/>
    </row>
    <row r="70" spans="1:27" ht="30" x14ac:dyDescent="0.25">
      <c r="A70" s="11" t="s">
        <v>1646</v>
      </c>
      <c r="B70" s="12" t="s">
        <v>1406</v>
      </c>
      <c r="C70" s="11" t="s">
        <v>392</v>
      </c>
      <c r="D70" s="11" t="s">
        <v>1638</v>
      </c>
      <c r="E70" s="11" t="s">
        <v>1647</v>
      </c>
      <c r="F70" s="11" t="s">
        <v>666</v>
      </c>
      <c r="G70" s="11" t="s">
        <v>75</v>
      </c>
      <c r="H70" s="11"/>
      <c r="I70" s="11" t="s">
        <v>1648</v>
      </c>
      <c r="J70" s="11" t="s">
        <v>1649</v>
      </c>
      <c r="K70" s="11"/>
      <c r="L70" s="11" t="s">
        <v>70</v>
      </c>
      <c r="M70" s="11" t="s">
        <v>71</v>
      </c>
      <c r="N70" s="11" t="s">
        <v>72</v>
      </c>
      <c r="O70" s="11" t="s">
        <v>19</v>
      </c>
      <c r="P70" s="13"/>
      <c r="Q70" s="13"/>
      <c r="R70" s="13"/>
      <c r="S70" s="13"/>
      <c r="T70" s="11" t="s">
        <v>19</v>
      </c>
      <c r="U70" s="13"/>
      <c r="V70" s="13"/>
      <c r="W70" s="13"/>
      <c r="X70" s="13"/>
      <c r="Y70" s="13"/>
      <c r="Z70" s="13"/>
      <c r="AA70" s="13"/>
    </row>
    <row r="71" spans="1:27" ht="45" x14ac:dyDescent="0.25">
      <c r="A71" s="11" t="s">
        <v>1650</v>
      </c>
      <c r="B71" s="12" t="s">
        <v>1406</v>
      </c>
      <c r="C71" s="11" t="s">
        <v>1407</v>
      </c>
      <c r="D71" s="11" t="s">
        <v>1408</v>
      </c>
      <c r="E71" s="11" t="s">
        <v>1651</v>
      </c>
      <c r="F71" s="11" t="s">
        <v>237</v>
      </c>
      <c r="G71" s="11" t="s">
        <v>67</v>
      </c>
      <c r="H71" s="11"/>
      <c r="I71" s="11" t="s">
        <v>1652</v>
      </c>
      <c r="J71" s="11" t="s">
        <v>1653</v>
      </c>
      <c r="K71" s="11"/>
      <c r="L71" s="11" t="s">
        <v>70</v>
      </c>
      <c r="M71" s="11" t="s">
        <v>71</v>
      </c>
      <c r="N71" s="11" t="s">
        <v>72</v>
      </c>
      <c r="O71" s="11" t="s">
        <v>19</v>
      </c>
      <c r="P71" s="13"/>
      <c r="Q71" s="13"/>
      <c r="R71" s="13"/>
      <c r="S71" s="13"/>
      <c r="T71" s="11" t="s">
        <v>19</v>
      </c>
      <c r="U71" s="13"/>
      <c r="V71" s="13"/>
      <c r="W71" s="13"/>
      <c r="X71" s="13"/>
      <c r="Y71" s="13"/>
      <c r="Z71" s="13"/>
      <c r="AA71" s="13"/>
    </row>
    <row r="72" spans="1:27" ht="45" x14ac:dyDescent="0.25">
      <c r="A72" s="11" t="s">
        <v>1654</v>
      </c>
      <c r="B72" s="12" t="s">
        <v>1413</v>
      </c>
      <c r="C72" s="11" t="s">
        <v>1414</v>
      </c>
      <c r="D72" s="11" t="s">
        <v>1486</v>
      </c>
      <c r="E72" s="11" t="s">
        <v>1655</v>
      </c>
      <c r="F72" s="11" t="s">
        <v>237</v>
      </c>
      <c r="G72" s="11" t="s">
        <v>67</v>
      </c>
      <c r="H72" s="11"/>
      <c r="I72" s="11" t="s">
        <v>1656</v>
      </c>
      <c r="J72" s="11" t="s">
        <v>1657</v>
      </c>
      <c r="K72" s="11"/>
      <c r="L72" s="11" t="s">
        <v>70</v>
      </c>
      <c r="M72" s="11" t="s">
        <v>71</v>
      </c>
      <c r="N72" s="11" t="s">
        <v>72</v>
      </c>
      <c r="O72" s="11" t="s">
        <v>19</v>
      </c>
      <c r="P72" s="13"/>
      <c r="Q72" s="13"/>
      <c r="R72" s="13"/>
      <c r="S72" s="13"/>
      <c r="T72" s="11" t="s">
        <v>19</v>
      </c>
      <c r="U72" s="13"/>
      <c r="V72" s="13"/>
      <c r="W72" s="13"/>
      <c r="X72" s="13"/>
      <c r="Y72" s="13"/>
      <c r="Z72" s="13"/>
      <c r="AA72" s="13"/>
    </row>
    <row r="73" spans="1:27" ht="45" x14ac:dyDescent="0.25">
      <c r="A73" s="11" t="s">
        <v>1658</v>
      </c>
      <c r="B73" s="12" t="s">
        <v>1413</v>
      </c>
      <c r="C73" s="11" t="s">
        <v>1414</v>
      </c>
      <c r="D73" s="11" t="s">
        <v>1486</v>
      </c>
      <c r="E73" s="11" t="s">
        <v>1659</v>
      </c>
      <c r="F73" s="11" t="s">
        <v>237</v>
      </c>
      <c r="G73" s="11" t="s">
        <v>67</v>
      </c>
      <c r="H73" s="11"/>
      <c r="I73" s="11" t="s">
        <v>1660</v>
      </c>
      <c r="J73" s="11" t="s">
        <v>1661</v>
      </c>
      <c r="K73" s="11"/>
      <c r="L73" s="11" t="s">
        <v>70</v>
      </c>
      <c r="M73" s="11" t="s">
        <v>71</v>
      </c>
      <c r="N73" s="11" t="s">
        <v>72</v>
      </c>
      <c r="O73" s="11" t="s">
        <v>19</v>
      </c>
      <c r="P73" s="13"/>
      <c r="Q73" s="13"/>
      <c r="R73" s="13"/>
      <c r="S73" s="13"/>
      <c r="T73" s="11" t="s">
        <v>19</v>
      </c>
      <c r="U73" s="13"/>
      <c r="V73" s="13"/>
      <c r="W73" s="13"/>
      <c r="X73" s="13"/>
      <c r="Y73" s="13"/>
      <c r="Z73" s="13"/>
      <c r="AA73" s="13"/>
    </row>
    <row r="74" spans="1:27" ht="45" x14ac:dyDescent="0.25">
      <c r="A74" s="11" t="s">
        <v>1662</v>
      </c>
      <c r="B74" s="12" t="s">
        <v>1413</v>
      </c>
      <c r="C74" s="11" t="s">
        <v>1414</v>
      </c>
      <c r="D74" s="11" t="s">
        <v>1486</v>
      </c>
      <c r="E74" s="11" t="s">
        <v>1663</v>
      </c>
      <c r="F74" s="11" t="s">
        <v>237</v>
      </c>
      <c r="G74" s="11" t="s">
        <v>75</v>
      </c>
      <c r="H74" s="11"/>
      <c r="I74" s="11" t="s">
        <v>1664</v>
      </c>
      <c r="J74" s="11" t="s">
        <v>1665</v>
      </c>
      <c r="K74" s="11"/>
      <c r="L74" s="11" t="s">
        <v>70</v>
      </c>
      <c r="M74" s="11" t="s">
        <v>71</v>
      </c>
      <c r="N74" s="11" t="s">
        <v>72</v>
      </c>
      <c r="O74" s="11" t="s">
        <v>19</v>
      </c>
      <c r="P74" s="13"/>
      <c r="Q74" s="13"/>
      <c r="R74" s="13"/>
      <c r="S74" s="13"/>
      <c r="T74" s="11" t="s">
        <v>19</v>
      </c>
      <c r="U74" s="13"/>
      <c r="V74" s="13"/>
      <c r="W74" s="13"/>
      <c r="X74" s="13"/>
      <c r="Y74" s="13"/>
      <c r="Z74" s="13"/>
      <c r="AA74" s="13"/>
    </row>
    <row r="75" spans="1:27" ht="45" x14ac:dyDescent="0.25">
      <c r="A75" s="11" t="s">
        <v>1666</v>
      </c>
      <c r="B75" s="12" t="s">
        <v>1413</v>
      </c>
      <c r="C75" s="11" t="s">
        <v>1414</v>
      </c>
      <c r="D75" s="11" t="s">
        <v>1667</v>
      </c>
      <c r="E75" s="11" t="s">
        <v>1668</v>
      </c>
      <c r="F75" s="11" t="s">
        <v>237</v>
      </c>
      <c r="G75" s="11" t="s">
        <v>67</v>
      </c>
      <c r="H75" s="11"/>
      <c r="I75" s="11" t="s">
        <v>1669</v>
      </c>
      <c r="J75" s="11" t="s">
        <v>1670</v>
      </c>
      <c r="K75" s="11"/>
      <c r="L75" s="11" t="s">
        <v>70</v>
      </c>
      <c r="M75" s="11" t="s">
        <v>71</v>
      </c>
      <c r="N75" s="11" t="s">
        <v>72</v>
      </c>
      <c r="O75" s="11" t="s">
        <v>19</v>
      </c>
      <c r="P75" s="13"/>
      <c r="Q75" s="13"/>
      <c r="R75" s="13"/>
      <c r="S75" s="13"/>
      <c r="T75" s="11" t="s">
        <v>19</v>
      </c>
      <c r="U75" s="13"/>
      <c r="V75" s="13"/>
      <c r="W75" s="13"/>
      <c r="X75" s="13"/>
      <c r="Y75" s="13"/>
      <c r="Z75" s="13"/>
      <c r="AA75" s="13"/>
    </row>
    <row r="76" spans="1:27" ht="45" x14ac:dyDescent="0.25">
      <c r="A76" s="11" t="s">
        <v>1671</v>
      </c>
      <c r="B76" s="12" t="s">
        <v>1413</v>
      </c>
      <c r="C76" s="11" t="s">
        <v>1414</v>
      </c>
      <c r="D76" s="11" t="s">
        <v>1672</v>
      </c>
      <c r="E76" s="11" t="s">
        <v>1673</v>
      </c>
      <c r="F76" s="11" t="s">
        <v>237</v>
      </c>
      <c r="G76" s="11" t="s">
        <v>67</v>
      </c>
      <c r="H76" s="11"/>
      <c r="I76" s="11" t="s">
        <v>1674</v>
      </c>
      <c r="J76" s="11" t="s">
        <v>1675</v>
      </c>
      <c r="K76" s="11"/>
      <c r="L76" s="11" t="s">
        <v>70</v>
      </c>
      <c r="M76" s="11" t="s">
        <v>71</v>
      </c>
      <c r="N76" s="11" t="s">
        <v>72</v>
      </c>
      <c r="O76" s="11" t="s">
        <v>19</v>
      </c>
      <c r="P76" s="13"/>
      <c r="Q76" s="13"/>
      <c r="R76" s="13"/>
      <c r="S76" s="13"/>
      <c r="T76" s="11" t="s">
        <v>19</v>
      </c>
      <c r="U76" s="13"/>
      <c r="V76" s="13"/>
      <c r="W76" s="13"/>
      <c r="X76" s="13"/>
      <c r="Y76" s="13"/>
      <c r="Z76" s="13"/>
      <c r="AA76" s="13"/>
    </row>
    <row r="77" spans="1:27" ht="30" x14ac:dyDescent="0.25">
      <c r="A77" s="11" t="s">
        <v>1676</v>
      </c>
      <c r="B77" s="12" t="s">
        <v>1413</v>
      </c>
      <c r="C77" s="11" t="s">
        <v>1414</v>
      </c>
      <c r="D77" s="11" t="s">
        <v>1677</v>
      </c>
      <c r="E77" s="11" t="s">
        <v>1678</v>
      </c>
      <c r="F77" s="11" t="s">
        <v>237</v>
      </c>
      <c r="G77" s="11" t="s">
        <v>75</v>
      </c>
      <c r="H77" s="11"/>
      <c r="I77" s="11" t="s">
        <v>1679</v>
      </c>
      <c r="J77" s="11" t="s">
        <v>1680</v>
      </c>
      <c r="K77" s="11"/>
      <c r="L77" s="11" t="s">
        <v>70</v>
      </c>
      <c r="M77" s="11" t="s">
        <v>71</v>
      </c>
      <c r="N77" s="11" t="s">
        <v>72</v>
      </c>
      <c r="O77" s="11" t="s">
        <v>19</v>
      </c>
      <c r="P77" s="13"/>
      <c r="Q77" s="13"/>
      <c r="R77" s="13"/>
      <c r="S77" s="13"/>
      <c r="T77" s="11" t="s">
        <v>19</v>
      </c>
      <c r="U77" s="13"/>
      <c r="V77" s="13"/>
      <c r="W77" s="13"/>
      <c r="X77" s="13"/>
      <c r="Y77" s="13"/>
      <c r="Z77" s="13"/>
      <c r="AA77" s="13"/>
    </row>
    <row r="78" spans="1:27" ht="45" x14ac:dyDescent="0.25">
      <c r="A78" s="11" t="s">
        <v>1681</v>
      </c>
      <c r="B78" s="12" t="s">
        <v>1413</v>
      </c>
      <c r="C78" s="11" t="s">
        <v>1414</v>
      </c>
      <c r="D78" s="11" t="s">
        <v>1682</v>
      </c>
      <c r="E78" s="11" t="s">
        <v>1683</v>
      </c>
      <c r="F78" s="11" t="s">
        <v>237</v>
      </c>
      <c r="G78" s="11" t="s">
        <v>75</v>
      </c>
      <c r="H78" s="11"/>
      <c r="I78" s="11" t="s">
        <v>1684</v>
      </c>
      <c r="J78" s="11" t="s">
        <v>1685</v>
      </c>
      <c r="K78" s="11"/>
      <c r="L78" s="11" t="s">
        <v>70</v>
      </c>
      <c r="M78" s="11" t="s">
        <v>71</v>
      </c>
      <c r="N78" s="11" t="s">
        <v>72</v>
      </c>
      <c r="O78" s="11" t="s">
        <v>19</v>
      </c>
      <c r="P78" s="13"/>
      <c r="Q78" s="13"/>
      <c r="R78" s="13"/>
      <c r="S78" s="13"/>
      <c r="T78" s="11" t="s">
        <v>19</v>
      </c>
      <c r="U78" s="13"/>
      <c r="V78" s="13"/>
      <c r="W78" s="13"/>
      <c r="X78" s="13"/>
      <c r="Y78" s="13"/>
      <c r="Z78" s="13"/>
      <c r="AA78" s="13"/>
    </row>
    <row r="79" spans="1:27" ht="30" x14ac:dyDescent="0.25">
      <c r="A79" s="11" t="s">
        <v>1686</v>
      </c>
      <c r="B79" s="12" t="s">
        <v>1413</v>
      </c>
      <c r="C79" s="11" t="s">
        <v>1414</v>
      </c>
      <c r="D79" s="11" t="s">
        <v>1491</v>
      </c>
      <c r="E79" s="11" t="s">
        <v>1687</v>
      </c>
      <c r="F79" s="11" t="s">
        <v>237</v>
      </c>
      <c r="G79" s="11" t="s">
        <v>67</v>
      </c>
      <c r="H79" s="11"/>
      <c r="I79" s="11" t="s">
        <v>1688</v>
      </c>
      <c r="J79" s="11" t="s">
        <v>1689</v>
      </c>
      <c r="K79" s="11"/>
      <c r="L79" s="11" t="s">
        <v>70</v>
      </c>
      <c r="M79" s="11" t="s">
        <v>71</v>
      </c>
      <c r="N79" s="11" t="s">
        <v>72</v>
      </c>
      <c r="O79" s="11" t="s">
        <v>19</v>
      </c>
      <c r="P79" s="13"/>
      <c r="Q79" s="13"/>
      <c r="R79" s="13"/>
      <c r="S79" s="13"/>
      <c r="T79" s="11" t="s">
        <v>19</v>
      </c>
      <c r="U79" s="13"/>
      <c r="V79" s="13"/>
      <c r="W79" s="13"/>
      <c r="X79" s="13"/>
      <c r="Y79" s="13"/>
      <c r="Z79" s="13"/>
      <c r="AA79" s="13"/>
    </row>
    <row r="80" spans="1:27" ht="30" x14ac:dyDescent="0.25">
      <c r="A80" s="11" t="s">
        <v>1690</v>
      </c>
      <c r="B80" s="12" t="s">
        <v>1413</v>
      </c>
      <c r="C80" s="11" t="s">
        <v>1414</v>
      </c>
      <c r="D80" s="11" t="s">
        <v>1491</v>
      </c>
      <c r="E80" s="11" t="s">
        <v>1691</v>
      </c>
      <c r="F80" s="11" t="s">
        <v>237</v>
      </c>
      <c r="G80" s="11" t="s">
        <v>67</v>
      </c>
      <c r="H80" s="11"/>
      <c r="I80" s="11" t="s">
        <v>1692</v>
      </c>
      <c r="J80" s="11" t="s">
        <v>1693</v>
      </c>
      <c r="K80" s="11"/>
      <c r="L80" s="11" t="s">
        <v>70</v>
      </c>
      <c r="M80" s="11" t="s">
        <v>71</v>
      </c>
      <c r="N80" s="11" t="s">
        <v>72</v>
      </c>
      <c r="O80" s="11" t="s">
        <v>19</v>
      </c>
      <c r="P80" s="13"/>
      <c r="Q80" s="13"/>
      <c r="R80" s="13"/>
      <c r="S80" s="13"/>
      <c r="T80" s="11" t="s">
        <v>19</v>
      </c>
      <c r="U80" s="13"/>
      <c r="V80" s="13"/>
      <c r="W80" s="13"/>
      <c r="X80" s="13"/>
      <c r="Y80" s="13"/>
      <c r="Z80" s="13"/>
      <c r="AA80" s="13"/>
    </row>
    <row r="81" spans="1:27" ht="30" x14ac:dyDescent="0.25">
      <c r="A81" s="11" t="s">
        <v>1694</v>
      </c>
      <c r="B81" s="12" t="s">
        <v>1370</v>
      </c>
      <c r="C81" s="11" t="s">
        <v>1695</v>
      </c>
      <c r="D81" s="11" t="s">
        <v>1370</v>
      </c>
      <c r="E81" s="11" t="s">
        <v>1696</v>
      </c>
      <c r="F81" s="11" t="s">
        <v>237</v>
      </c>
      <c r="G81" s="11" t="s">
        <v>94</v>
      </c>
      <c r="H81" s="11"/>
      <c r="I81" s="11" t="s">
        <v>1697</v>
      </c>
      <c r="J81" s="11" t="s">
        <v>1698</v>
      </c>
      <c r="K81" s="11"/>
      <c r="L81" s="11" t="s">
        <v>70</v>
      </c>
      <c r="M81" s="11" t="s">
        <v>71</v>
      </c>
      <c r="N81" s="11" t="s">
        <v>72</v>
      </c>
      <c r="O81" s="11" t="s">
        <v>19</v>
      </c>
      <c r="P81" s="13"/>
      <c r="Q81" s="13"/>
      <c r="R81" s="13"/>
      <c r="S81" s="13"/>
      <c r="T81" s="11" t="s">
        <v>19</v>
      </c>
      <c r="U81" s="13"/>
      <c r="V81" s="13"/>
      <c r="W81" s="13"/>
      <c r="X81" s="13"/>
      <c r="Y81" s="13"/>
      <c r="Z81" s="13"/>
      <c r="AA81" s="13"/>
    </row>
  </sheetData>
  <autoFilter ref="A1:AA1" xr:uid="{00000000-0009-0000-0000-000005000000}"/>
  <mergeCells count="3">
    <mergeCell ref="A35:AA35"/>
    <mergeCell ref="A23:AA23"/>
    <mergeCell ref="A2:AA2"/>
  </mergeCells>
  <dataValidations count="4">
    <dataValidation type="list" allowBlank="1" sqref="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9" xr:uid="{00000000-0002-0000-0500-000000000000}">
      <formula1>"Add new,Update,Delete"</formula1>
    </dataValidation>
    <dataValidation type="list" allowBlank="1"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9" xr:uid="{00000000-0002-0000-0500-000001000000}">
      <formula1>"By AI,By Manual"</formula1>
    </dataValidation>
    <dataValidation type="list" allowBlank="1" sqref="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9" xr:uid="{00000000-0002-0000-0500-000002000000}">
      <formula1>"Auto,Manual"</formula1>
    </dataValidation>
    <dataValidation type="list" allowBlank="1" sqref="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9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T201 T202 T203 T204 T205 T206 T207 T209" xr:uid="{00000000-0002-0000-0500-000003000000}">
      <formula1>"Untested,Pass,Fail,N/A"</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69"/>
  <sheetViews>
    <sheetView tabSelected="1" workbookViewId="0">
      <pane ySplit="1" topLeftCell="A2" activePane="bottomLeft" state="frozen"/>
      <selection pane="bottomLeft"/>
    </sheetView>
  </sheetViews>
  <sheetFormatPr defaultRowHeight="15" x14ac:dyDescent="0.25"/>
  <cols>
    <col min="1" max="1" width="16" customWidth="1"/>
    <col min="2" max="2" width="22" customWidth="1"/>
    <col min="3" max="3" width="12" customWidth="1"/>
    <col min="4" max="4" width="22" customWidth="1"/>
    <col min="5" max="5" width="35" customWidth="1"/>
    <col min="6" max="6" width="14" customWidth="1"/>
    <col min="7" max="7" width="10" customWidth="1"/>
    <col min="8" max="8" width="30" customWidth="1"/>
    <col min="9" max="9" width="45" customWidth="1"/>
    <col min="10" max="11" width="40" customWidth="1"/>
    <col min="12" max="12" width="12" customWidth="1"/>
    <col min="13" max="14" width="14" customWidth="1"/>
    <col min="15" max="15" width="10" customWidth="1"/>
    <col min="16" max="16" width="12" customWidth="1"/>
    <col min="17" max="17" width="10" customWidth="1"/>
    <col min="18" max="18" width="14" customWidth="1"/>
    <col min="19" max="19" width="35" customWidth="1"/>
    <col min="20" max="20" width="10" customWidth="1"/>
    <col min="21" max="21" width="12" customWidth="1"/>
    <col min="22" max="22" width="10" customWidth="1"/>
    <col min="23" max="23" width="14" customWidth="1"/>
    <col min="24" max="24" width="35" customWidth="1"/>
    <col min="25" max="25" width="30" customWidth="1"/>
    <col min="26" max="26" width="15" customWidth="1"/>
    <col min="27" max="27" width="35" customWidth="1"/>
  </cols>
  <sheetData>
    <row r="1" spans="1:27" ht="30" customHeight="1" x14ac:dyDescent="0.25">
      <c r="A1" s="8" t="s">
        <v>33</v>
      </c>
      <c r="B1" s="9" t="s">
        <v>34</v>
      </c>
      <c r="C1" s="8" t="s">
        <v>35</v>
      </c>
      <c r="D1" s="8" t="s">
        <v>36</v>
      </c>
      <c r="E1" s="8" t="s">
        <v>37</v>
      </c>
      <c r="F1" s="8" t="s">
        <v>38</v>
      </c>
      <c r="G1" s="8" t="s">
        <v>39</v>
      </c>
      <c r="H1" s="8" t="s">
        <v>40</v>
      </c>
      <c r="I1" s="8" t="s">
        <v>41</v>
      </c>
      <c r="J1" s="8" t="s">
        <v>42</v>
      </c>
      <c r="K1" s="8" t="s">
        <v>43</v>
      </c>
      <c r="L1" s="8" t="s">
        <v>44</v>
      </c>
      <c r="M1" s="8" t="s">
        <v>45</v>
      </c>
      <c r="N1" s="8" t="s">
        <v>46</v>
      </c>
      <c r="O1" s="8" t="s">
        <v>47</v>
      </c>
      <c r="P1" s="8" t="s">
        <v>48</v>
      </c>
      <c r="Q1" s="8" t="s">
        <v>49</v>
      </c>
      <c r="R1" s="8" t="s">
        <v>50</v>
      </c>
      <c r="S1" s="8" t="s">
        <v>51</v>
      </c>
      <c r="T1" s="8" t="s">
        <v>52</v>
      </c>
      <c r="U1" s="8" t="s">
        <v>53</v>
      </c>
      <c r="V1" s="8" t="s">
        <v>54</v>
      </c>
      <c r="W1" s="8" t="s">
        <v>55</v>
      </c>
      <c r="X1" s="8" t="s">
        <v>56</v>
      </c>
      <c r="Y1" s="8" t="s">
        <v>57</v>
      </c>
      <c r="Z1" s="8" t="s">
        <v>58</v>
      </c>
      <c r="AA1" s="10" t="s">
        <v>59</v>
      </c>
    </row>
    <row r="2" spans="1:27" ht="15.75" x14ac:dyDescent="0.25">
      <c r="A2" s="53" t="s">
        <v>60</v>
      </c>
      <c r="B2" s="54"/>
      <c r="C2" s="54"/>
      <c r="D2" s="54"/>
      <c r="E2" s="54"/>
      <c r="F2" s="54"/>
      <c r="G2" s="54"/>
      <c r="H2" s="54"/>
      <c r="I2" s="54"/>
      <c r="J2" s="54"/>
      <c r="K2" s="54"/>
      <c r="L2" s="54"/>
      <c r="M2" s="54"/>
      <c r="N2" s="54"/>
      <c r="O2" s="54"/>
      <c r="P2" s="54"/>
      <c r="Q2" s="54"/>
      <c r="R2" s="54"/>
      <c r="S2" s="54"/>
      <c r="T2" s="54"/>
      <c r="U2" s="54"/>
      <c r="V2" s="54"/>
      <c r="W2" s="54"/>
      <c r="X2" s="54"/>
      <c r="Y2" s="54"/>
      <c r="Z2" s="54"/>
      <c r="AA2" s="55"/>
    </row>
    <row r="3" spans="1:27" ht="60" x14ac:dyDescent="0.25">
      <c r="A3" s="11" t="s">
        <v>1699</v>
      </c>
      <c r="B3" s="12" t="s">
        <v>1700</v>
      </c>
      <c r="C3" s="11" t="s">
        <v>146</v>
      </c>
      <c r="D3" s="11" t="s">
        <v>147</v>
      </c>
      <c r="E3" s="11" t="s">
        <v>1701</v>
      </c>
      <c r="F3" s="11" t="s">
        <v>66</v>
      </c>
      <c r="G3" s="11" t="s">
        <v>75</v>
      </c>
      <c r="H3" s="11"/>
      <c r="I3" s="11" t="s">
        <v>1702</v>
      </c>
      <c r="J3" s="11" t="s">
        <v>150</v>
      </c>
      <c r="K3" s="11"/>
      <c r="L3" s="11" t="s">
        <v>70</v>
      </c>
      <c r="M3" s="11" t="s">
        <v>71</v>
      </c>
      <c r="N3" s="11" t="s">
        <v>72</v>
      </c>
      <c r="O3" s="11" t="s">
        <v>19</v>
      </c>
      <c r="P3" s="13"/>
      <c r="Q3" s="13"/>
      <c r="R3" s="13"/>
      <c r="S3" s="13"/>
      <c r="T3" s="11" t="s">
        <v>19</v>
      </c>
      <c r="U3" s="13"/>
      <c r="V3" s="13"/>
      <c r="W3" s="13"/>
      <c r="X3" s="13"/>
      <c r="Y3" s="13"/>
      <c r="Z3" s="13"/>
      <c r="AA3" s="13"/>
    </row>
    <row r="4" spans="1:27" ht="60" x14ac:dyDescent="0.25">
      <c r="A4" s="11" t="s">
        <v>1703</v>
      </c>
      <c r="B4" s="12" t="s">
        <v>1700</v>
      </c>
      <c r="C4" s="11" t="s">
        <v>146</v>
      </c>
      <c r="D4" s="11" t="s">
        <v>147</v>
      </c>
      <c r="E4" s="11" t="s">
        <v>1704</v>
      </c>
      <c r="F4" s="11" t="s">
        <v>66</v>
      </c>
      <c r="G4" s="11" t="s">
        <v>75</v>
      </c>
      <c r="H4" s="11"/>
      <c r="I4" s="11" t="s">
        <v>1705</v>
      </c>
      <c r="J4" s="11" t="s">
        <v>150</v>
      </c>
      <c r="K4" s="11"/>
      <c r="L4" s="11" t="s">
        <v>70</v>
      </c>
      <c r="M4" s="11" t="s">
        <v>71</v>
      </c>
      <c r="N4" s="11" t="s">
        <v>72</v>
      </c>
      <c r="O4" s="11" t="s">
        <v>19</v>
      </c>
      <c r="P4" s="13"/>
      <c r="Q4" s="13"/>
      <c r="R4" s="13"/>
      <c r="S4" s="13"/>
      <c r="T4" s="11" t="s">
        <v>19</v>
      </c>
      <c r="U4" s="13"/>
      <c r="V4" s="13"/>
      <c r="W4" s="13"/>
      <c r="X4" s="13"/>
      <c r="Y4" s="13"/>
      <c r="Z4" s="13"/>
      <c r="AA4" s="13"/>
    </row>
    <row r="5" spans="1:27" ht="45" x14ac:dyDescent="0.25">
      <c r="A5" s="11" t="s">
        <v>1706</v>
      </c>
      <c r="B5" s="12" t="s">
        <v>1700</v>
      </c>
      <c r="C5" s="11" t="s">
        <v>146</v>
      </c>
      <c r="D5" s="11" t="s">
        <v>152</v>
      </c>
      <c r="E5" s="11" t="s">
        <v>1707</v>
      </c>
      <c r="F5" s="11" t="s">
        <v>66</v>
      </c>
      <c r="G5" s="11" t="s">
        <v>75</v>
      </c>
      <c r="H5" s="11"/>
      <c r="I5" s="11" t="s">
        <v>1708</v>
      </c>
      <c r="J5" s="11" t="s">
        <v>155</v>
      </c>
      <c r="K5" s="11"/>
      <c r="L5" s="11" t="s">
        <v>70</v>
      </c>
      <c r="M5" s="11" t="s">
        <v>71</v>
      </c>
      <c r="N5" s="11" t="s">
        <v>72</v>
      </c>
      <c r="O5" s="11" t="s">
        <v>19</v>
      </c>
      <c r="P5" s="13"/>
      <c r="Q5" s="13"/>
      <c r="R5" s="13"/>
      <c r="S5" s="13"/>
      <c r="T5" s="11" t="s">
        <v>19</v>
      </c>
      <c r="U5" s="13"/>
      <c r="V5" s="13"/>
      <c r="W5" s="13"/>
      <c r="X5" s="13"/>
      <c r="Y5" s="13"/>
      <c r="Z5" s="13"/>
      <c r="AA5" s="13"/>
    </row>
    <row r="6" spans="1:27" ht="45" x14ac:dyDescent="0.25">
      <c r="A6" s="11" t="s">
        <v>1709</v>
      </c>
      <c r="B6" s="12" t="s">
        <v>1700</v>
      </c>
      <c r="C6" s="11" t="s">
        <v>146</v>
      </c>
      <c r="D6" s="11" t="s">
        <v>152</v>
      </c>
      <c r="E6" s="11" t="s">
        <v>1710</v>
      </c>
      <c r="F6" s="11" t="s">
        <v>66</v>
      </c>
      <c r="G6" s="11" t="s">
        <v>75</v>
      </c>
      <c r="H6" s="11"/>
      <c r="I6" s="11" t="s">
        <v>1711</v>
      </c>
      <c r="J6" s="11" t="s">
        <v>155</v>
      </c>
      <c r="K6" s="11"/>
      <c r="L6" s="11" t="s">
        <v>70</v>
      </c>
      <c r="M6" s="11" t="s">
        <v>71</v>
      </c>
      <c r="N6" s="11" t="s">
        <v>72</v>
      </c>
      <c r="O6" s="11" t="s">
        <v>19</v>
      </c>
      <c r="P6" s="13"/>
      <c r="Q6" s="13"/>
      <c r="R6" s="13"/>
      <c r="S6" s="13"/>
      <c r="T6" s="11" t="s">
        <v>19</v>
      </c>
      <c r="U6" s="13"/>
      <c r="V6" s="13"/>
      <c r="W6" s="13"/>
      <c r="X6" s="13"/>
      <c r="Y6" s="13"/>
      <c r="Z6" s="13"/>
      <c r="AA6" s="13"/>
    </row>
    <row r="7" spans="1:27" ht="75" x14ac:dyDescent="0.25">
      <c r="A7" s="11" t="s">
        <v>1712</v>
      </c>
      <c r="B7" s="12" t="s">
        <v>1700</v>
      </c>
      <c r="C7" s="11" t="s">
        <v>146</v>
      </c>
      <c r="D7" s="11" t="s">
        <v>157</v>
      </c>
      <c r="E7" s="11" t="s">
        <v>1713</v>
      </c>
      <c r="F7" s="11" t="s">
        <v>66</v>
      </c>
      <c r="G7" s="11" t="s">
        <v>67</v>
      </c>
      <c r="H7" s="11"/>
      <c r="I7" s="11" t="s">
        <v>1714</v>
      </c>
      <c r="J7" s="11" t="s">
        <v>535</v>
      </c>
      <c r="K7" s="11"/>
      <c r="L7" s="11" t="s">
        <v>70</v>
      </c>
      <c r="M7" s="11" t="s">
        <v>71</v>
      </c>
      <c r="N7" s="11" t="s">
        <v>72</v>
      </c>
      <c r="O7" s="11" t="s">
        <v>19</v>
      </c>
      <c r="P7" s="13"/>
      <c r="Q7" s="13"/>
      <c r="R7" s="13"/>
      <c r="S7" s="13"/>
      <c r="T7" s="11" t="s">
        <v>19</v>
      </c>
      <c r="U7" s="13"/>
      <c r="V7" s="13"/>
      <c r="W7" s="13"/>
      <c r="X7" s="13"/>
      <c r="Y7" s="13"/>
      <c r="Z7" s="13"/>
      <c r="AA7" s="13"/>
    </row>
    <row r="8" spans="1:27" ht="75" x14ac:dyDescent="0.25">
      <c r="A8" s="11" t="s">
        <v>1715</v>
      </c>
      <c r="B8" s="12" t="s">
        <v>1700</v>
      </c>
      <c r="C8" s="11" t="s">
        <v>146</v>
      </c>
      <c r="D8" s="11" t="s">
        <v>157</v>
      </c>
      <c r="E8" s="11" t="s">
        <v>1716</v>
      </c>
      <c r="F8" s="11" t="s">
        <v>66</v>
      </c>
      <c r="G8" s="11" t="s">
        <v>67</v>
      </c>
      <c r="H8" s="11"/>
      <c r="I8" s="11" t="s">
        <v>1717</v>
      </c>
      <c r="J8" s="11" t="s">
        <v>535</v>
      </c>
      <c r="K8" s="11"/>
      <c r="L8" s="11" t="s">
        <v>70</v>
      </c>
      <c r="M8" s="11" t="s">
        <v>71</v>
      </c>
      <c r="N8" s="11" t="s">
        <v>72</v>
      </c>
      <c r="O8" s="11" t="s">
        <v>19</v>
      </c>
      <c r="P8" s="13"/>
      <c r="Q8" s="13"/>
      <c r="R8" s="13"/>
      <c r="S8" s="13"/>
      <c r="T8" s="11" t="s">
        <v>19</v>
      </c>
      <c r="U8" s="13"/>
      <c r="V8" s="13"/>
      <c r="W8" s="13"/>
      <c r="X8" s="13"/>
      <c r="Y8" s="13"/>
      <c r="Z8" s="13"/>
      <c r="AA8" s="13"/>
    </row>
    <row r="9" spans="1:27" ht="90" x14ac:dyDescent="0.25">
      <c r="A9" s="11" t="s">
        <v>1718</v>
      </c>
      <c r="B9" s="12" t="s">
        <v>1700</v>
      </c>
      <c r="C9" s="11" t="s">
        <v>146</v>
      </c>
      <c r="D9" s="11" t="s">
        <v>162</v>
      </c>
      <c r="E9" s="11" t="s">
        <v>1719</v>
      </c>
      <c r="F9" s="11" t="s">
        <v>66</v>
      </c>
      <c r="G9" s="11" t="s">
        <v>67</v>
      </c>
      <c r="H9" s="11"/>
      <c r="I9" s="11" t="s">
        <v>164</v>
      </c>
      <c r="J9" s="11" t="s">
        <v>545</v>
      </c>
      <c r="K9" s="11"/>
      <c r="L9" s="11" t="s">
        <v>70</v>
      </c>
      <c r="M9" s="11" t="s">
        <v>71</v>
      </c>
      <c r="N9" s="11" t="s">
        <v>72</v>
      </c>
      <c r="O9" s="11" t="s">
        <v>19</v>
      </c>
      <c r="P9" s="13"/>
      <c r="Q9" s="13"/>
      <c r="R9" s="13"/>
      <c r="S9" s="13"/>
      <c r="T9" s="11" t="s">
        <v>19</v>
      </c>
      <c r="U9" s="13"/>
      <c r="V9" s="13"/>
      <c r="W9" s="13"/>
      <c r="X9" s="13"/>
      <c r="Y9" s="13"/>
      <c r="Z9" s="13"/>
      <c r="AA9" s="13"/>
    </row>
    <row r="10" spans="1:27" ht="90" x14ac:dyDescent="0.25">
      <c r="A10" s="11" t="s">
        <v>1720</v>
      </c>
      <c r="B10" s="12" t="s">
        <v>1700</v>
      </c>
      <c r="C10" s="11" t="s">
        <v>146</v>
      </c>
      <c r="D10" s="11" t="s">
        <v>162</v>
      </c>
      <c r="E10" s="11" t="s">
        <v>1721</v>
      </c>
      <c r="F10" s="11" t="s">
        <v>66</v>
      </c>
      <c r="G10" s="11" t="s">
        <v>67</v>
      </c>
      <c r="H10" s="11"/>
      <c r="I10" s="11" t="s">
        <v>164</v>
      </c>
      <c r="J10" s="11" t="s">
        <v>545</v>
      </c>
      <c r="K10" s="11"/>
      <c r="L10" s="11" t="s">
        <v>70</v>
      </c>
      <c r="M10" s="11" t="s">
        <v>71</v>
      </c>
      <c r="N10" s="11" t="s">
        <v>72</v>
      </c>
      <c r="O10" s="11" t="s">
        <v>19</v>
      </c>
      <c r="P10" s="13"/>
      <c r="Q10" s="13"/>
      <c r="R10" s="13"/>
      <c r="S10" s="13"/>
      <c r="T10" s="11" t="s">
        <v>19</v>
      </c>
      <c r="U10" s="13"/>
      <c r="V10" s="13"/>
      <c r="W10" s="13"/>
      <c r="X10" s="13"/>
      <c r="Y10" s="13"/>
      <c r="Z10" s="13"/>
      <c r="AA10" s="13"/>
    </row>
    <row r="11" spans="1:27" ht="75" x14ac:dyDescent="0.25">
      <c r="A11" s="11" t="s">
        <v>1722</v>
      </c>
      <c r="B11" s="12" t="s">
        <v>1700</v>
      </c>
      <c r="C11" s="11" t="s">
        <v>146</v>
      </c>
      <c r="D11" s="11" t="s">
        <v>167</v>
      </c>
      <c r="E11" s="11" t="s">
        <v>1723</v>
      </c>
      <c r="F11" s="11" t="s">
        <v>66</v>
      </c>
      <c r="G11" s="11" t="s">
        <v>75</v>
      </c>
      <c r="H11" s="11"/>
      <c r="I11" s="11" t="s">
        <v>1724</v>
      </c>
      <c r="J11" s="11" t="s">
        <v>555</v>
      </c>
      <c r="K11" s="11"/>
      <c r="L11" s="11" t="s">
        <v>70</v>
      </c>
      <c r="M11" s="11" t="s">
        <v>71</v>
      </c>
      <c r="N11" s="11" t="s">
        <v>72</v>
      </c>
      <c r="O11" s="11" t="s">
        <v>19</v>
      </c>
      <c r="P11" s="13"/>
      <c r="Q11" s="13"/>
      <c r="R11" s="13"/>
      <c r="S11" s="13"/>
      <c r="T11" s="11" t="s">
        <v>19</v>
      </c>
      <c r="U11" s="13"/>
      <c r="V11" s="13"/>
      <c r="W11" s="13"/>
      <c r="X11" s="13"/>
      <c r="Y11" s="13"/>
      <c r="Z11" s="13"/>
      <c r="AA11" s="13"/>
    </row>
    <row r="12" spans="1:27" ht="75" x14ac:dyDescent="0.25">
      <c r="A12" s="11" t="s">
        <v>1725</v>
      </c>
      <c r="B12" s="12" t="s">
        <v>1700</v>
      </c>
      <c r="C12" s="11" t="s">
        <v>146</v>
      </c>
      <c r="D12" s="11" t="s">
        <v>167</v>
      </c>
      <c r="E12" s="11" t="s">
        <v>1726</v>
      </c>
      <c r="F12" s="11" t="s">
        <v>66</v>
      </c>
      <c r="G12" s="11" t="s">
        <v>75</v>
      </c>
      <c r="H12" s="11"/>
      <c r="I12" s="11" t="s">
        <v>1727</v>
      </c>
      <c r="J12" s="11" t="s">
        <v>555</v>
      </c>
      <c r="K12" s="11"/>
      <c r="L12" s="11" t="s">
        <v>70</v>
      </c>
      <c r="M12" s="11" t="s">
        <v>71</v>
      </c>
      <c r="N12" s="11" t="s">
        <v>72</v>
      </c>
      <c r="O12" s="11" t="s">
        <v>19</v>
      </c>
      <c r="P12" s="13"/>
      <c r="Q12" s="13"/>
      <c r="R12" s="13"/>
      <c r="S12" s="13"/>
      <c r="T12" s="11" t="s">
        <v>19</v>
      </c>
      <c r="U12" s="13"/>
      <c r="V12" s="13"/>
      <c r="W12" s="13"/>
      <c r="X12" s="13"/>
      <c r="Y12" s="13"/>
      <c r="Z12" s="13"/>
      <c r="AA12" s="13"/>
    </row>
    <row r="13" spans="1:27" ht="75" x14ac:dyDescent="0.25">
      <c r="A13" s="11" t="s">
        <v>1728</v>
      </c>
      <c r="B13" s="12" t="s">
        <v>1700</v>
      </c>
      <c r="C13" s="11" t="s">
        <v>146</v>
      </c>
      <c r="D13" s="11" t="s">
        <v>172</v>
      </c>
      <c r="E13" s="11" t="s">
        <v>1729</v>
      </c>
      <c r="F13" s="11" t="s">
        <v>66</v>
      </c>
      <c r="G13" s="11" t="s">
        <v>67</v>
      </c>
      <c r="H13" s="11"/>
      <c r="I13" s="11" t="s">
        <v>1730</v>
      </c>
      <c r="J13" s="11" t="s">
        <v>566</v>
      </c>
      <c r="K13" s="11"/>
      <c r="L13" s="11" t="s">
        <v>70</v>
      </c>
      <c r="M13" s="11" t="s">
        <v>71</v>
      </c>
      <c r="N13" s="11" t="s">
        <v>72</v>
      </c>
      <c r="O13" s="11" t="s">
        <v>19</v>
      </c>
      <c r="P13" s="13"/>
      <c r="Q13" s="13"/>
      <c r="R13" s="13"/>
      <c r="S13" s="13"/>
      <c r="T13" s="11" t="s">
        <v>19</v>
      </c>
      <c r="U13" s="13"/>
      <c r="V13" s="13"/>
      <c r="W13" s="13"/>
      <c r="X13" s="13"/>
      <c r="Y13" s="13"/>
      <c r="Z13" s="13"/>
      <c r="AA13" s="13"/>
    </row>
    <row r="14" spans="1:27" ht="75" x14ac:dyDescent="0.25">
      <c r="A14" s="11" t="s">
        <v>1731</v>
      </c>
      <c r="B14" s="12" t="s">
        <v>1700</v>
      </c>
      <c r="C14" s="11" t="s">
        <v>146</v>
      </c>
      <c r="D14" s="11" t="s">
        <v>172</v>
      </c>
      <c r="E14" s="11" t="s">
        <v>1732</v>
      </c>
      <c r="F14" s="11" t="s">
        <v>66</v>
      </c>
      <c r="G14" s="11" t="s">
        <v>67</v>
      </c>
      <c r="H14" s="11"/>
      <c r="I14" s="11" t="s">
        <v>1733</v>
      </c>
      <c r="J14" s="11" t="s">
        <v>566</v>
      </c>
      <c r="K14" s="11"/>
      <c r="L14" s="11" t="s">
        <v>70</v>
      </c>
      <c r="M14" s="11" t="s">
        <v>71</v>
      </c>
      <c r="N14" s="11" t="s">
        <v>72</v>
      </c>
      <c r="O14" s="11" t="s">
        <v>19</v>
      </c>
      <c r="P14" s="13"/>
      <c r="Q14" s="13"/>
      <c r="R14" s="13"/>
      <c r="S14" s="13"/>
      <c r="T14" s="11" t="s">
        <v>19</v>
      </c>
      <c r="U14" s="13"/>
      <c r="V14" s="13"/>
      <c r="W14" s="13"/>
      <c r="X14" s="13"/>
      <c r="Y14" s="13"/>
      <c r="Z14" s="13"/>
      <c r="AA14" s="13"/>
    </row>
    <row r="15" spans="1:27" ht="60" x14ac:dyDescent="0.25">
      <c r="A15" s="11" t="s">
        <v>1734</v>
      </c>
      <c r="B15" s="12" t="s">
        <v>1700</v>
      </c>
      <c r="C15" s="11" t="s">
        <v>1414</v>
      </c>
      <c r="D15" s="11" t="s">
        <v>1735</v>
      </c>
      <c r="E15" s="11" t="s">
        <v>1736</v>
      </c>
      <c r="F15" s="11" t="s">
        <v>66</v>
      </c>
      <c r="G15" s="11" t="s">
        <v>75</v>
      </c>
      <c r="H15" s="11"/>
      <c r="I15" s="11" t="s">
        <v>1737</v>
      </c>
      <c r="J15" s="11" t="s">
        <v>1738</v>
      </c>
      <c r="K15" s="11"/>
      <c r="L15" s="11" t="s">
        <v>70</v>
      </c>
      <c r="M15" s="11" t="s">
        <v>71</v>
      </c>
      <c r="N15" s="11" t="s">
        <v>72</v>
      </c>
      <c r="O15" s="11" t="s">
        <v>19</v>
      </c>
      <c r="P15" s="13"/>
      <c r="Q15" s="13"/>
      <c r="R15" s="13"/>
      <c r="S15" s="13"/>
      <c r="T15" s="11" t="s">
        <v>19</v>
      </c>
      <c r="U15" s="13"/>
      <c r="V15" s="13"/>
      <c r="W15" s="13"/>
      <c r="X15" s="13"/>
      <c r="Y15" s="13"/>
      <c r="Z15" s="13"/>
      <c r="AA15" s="13"/>
    </row>
    <row r="16" spans="1:27" ht="45" x14ac:dyDescent="0.25">
      <c r="A16" s="11" t="s">
        <v>1739</v>
      </c>
      <c r="B16" s="12" t="s">
        <v>1740</v>
      </c>
      <c r="C16" s="11" t="s">
        <v>1741</v>
      </c>
      <c r="D16" s="11" t="s">
        <v>1742</v>
      </c>
      <c r="E16" s="11" t="s">
        <v>1743</v>
      </c>
      <c r="F16" s="11" t="s">
        <v>66</v>
      </c>
      <c r="G16" s="11" t="s">
        <v>94</v>
      </c>
      <c r="H16" s="11"/>
      <c r="I16" s="11" t="s">
        <v>1744</v>
      </c>
      <c r="J16" s="11" t="s">
        <v>1745</v>
      </c>
      <c r="K16" s="11"/>
      <c r="L16" s="11" t="s">
        <v>70</v>
      </c>
      <c r="M16" s="11" t="s">
        <v>71</v>
      </c>
      <c r="N16" s="11" t="s">
        <v>72</v>
      </c>
      <c r="O16" s="11" t="s">
        <v>19</v>
      </c>
      <c r="P16" s="13"/>
      <c r="Q16" s="13"/>
      <c r="R16" s="13"/>
      <c r="S16" s="13"/>
      <c r="T16" s="11" t="s">
        <v>19</v>
      </c>
      <c r="U16" s="13"/>
      <c r="V16" s="13"/>
      <c r="W16" s="13"/>
      <c r="X16" s="13"/>
      <c r="Y16" s="13"/>
      <c r="Z16" s="13"/>
      <c r="AA16" s="13"/>
    </row>
    <row r="17" spans="1:27" ht="60" x14ac:dyDescent="0.25">
      <c r="A17" s="11" t="s">
        <v>1746</v>
      </c>
      <c r="B17" s="12" t="s">
        <v>1740</v>
      </c>
      <c r="C17" s="11" t="s">
        <v>1741</v>
      </c>
      <c r="D17" s="11" t="s">
        <v>1747</v>
      </c>
      <c r="E17" s="11" t="s">
        <v>1748</v>
      </c>
      <c r="F17" s="11" t="s">
        <v>66</v>
      </c>
      <c r="G17" s="11" t="s">
        <v>75</v>
      </c>
      <c r="H17" s="11"/>
      <c r="I17" s="11" t="s">
        <v>1749</v>
      </c>
      <c r="J17" s="11" t="s">
        <v>1750</v>
      </c>
      <c r="K17" s="11"/>
      <c r="L17" s="11" t="s">
        <v>70</v>
      </c>
      <c r="M17" s="11" t="s">
        <v>71</v>
      </c>
      <c r="N17" s="11" t="s">
        <v>72</v>
      </c>
      <c r="O17" s="11" t="s">
        <v>19</v>
      </c>
      <c r="P17" s="13"/>
      <c r="Q17" s="13"/>
      <c r="R17" s="13"/>
      <c r="S17" s="13"/>
      <c r="T17" s="11" t="s">
        <v>19</v>
      </c>
      <c r="U17" s="13"/>
      <c r="V17" s="13"/>
      <c r="W17" s="13"/>
      <c r="X17" s="13"/>
      <c r="Y17" s="13"/>
      <c r="Z17" s="13"/>
      <c r="AA17" s="13"/>
    </row>
    <row r="18" spans="1:27" ht="45" x14ac:dyDescent="0.25">
      <c r="A18" s="11" t="s">
        <v>1751</v>
      </c>
      <c r="B18" s="12" t="s">
        <v>1752</v>
      </c>
      <c r="C18" s="11" t="s">
        <v>1753</v>
      </c>
      <c r="D18" s="11" t="s">
        <v>1754</v>
      </c>
      <c r="E18" s="11" t="s">
        <v>1755</v>
      </c>
      <c r="F18" s="11" t="s">
        <v>66</v>
      </c>
      <c r="G18" s="11" t="s">
        <v>75</v>
      </c>
      <c r="H18" s="11"/>
      <c r="I18" s="11" t="s">
        <v>1756</v>
      </c>
      <c r="J18" s="11" t="s">
        <v>1757</v>
      </c>
      <c r="K18" s="11"/>
      <c r="L18" s="11" t="s">
        <v>70</v>
      </c>
      <c r="M18" s="11" t="s">
        <v>71</v>
      </c>
      <c r="N18" s="11" t="s">
        <v>72</v>
      </c>
      <c r="O18" s="11" t="s">
        <v>19</v>
      </c>
      <c r="P18" s="13"/>
      <c r="Q18" s="13"/>
      <c r="R18" s="13"/>
      <c r="S18" s="13"/>
      <c r="T18" s="11" t="s">
        <v>19</v>
      </c>
      <c r="U18" s="13"/>
      <c r="V18" s="13"/>
      <c r="W18" s="13"/>
      <c r="X18" s="13"/>
      <c r="Y18" s="13"/>
      <c r="Z18" s="13"/>
      <c r="AA18" s="13"/>
    </row>
    <row r="19" spans="1:27" ht="30" x14ac:dyDescent="0.25">
      <c r="A19" s="11" t="s">
        <v>1758</v>
      </c>
      <c r="B19" s="12" t="s">
        <v>1752</v>
      </c>
      <c r="C19" s="11" t="s">
        <v>1753</v>
      </c>
      <c r="D19" s="11" t="s">
        <v>1759</v>
      </c>
      <c r="E19" s="11" t="s">
        <v>1760</v>
      </c>
      <c r="F19" s="11" t="s">
        <v>66</v>
      </c>
      <c r="G19" s="11" t="s">
        <v>75</v>
      </c>
      <c r="H19" s="11"/>
      <c r="I19" s="11" t="s">
        <v>1756</v>
      </c>
      <c r="J19" s="11" t="s">
        <v>1761</v>
      </c>
      <c r="K19" s="11"/>
      <c r="L19" s="11" t="s">
        <v>70</v>
      </c>
      <c r="M19" s="11" t="s">
        <v>71</v>
      </c>
      <c r="N19" s="11" t="s">
        <v>72</v>
      </c>
      <c r="O19" s="11" t="s">
        <v>19</v>
      </c>
      <c r="P19" s="13"/>
      <c r="Q19" s="13"/>
      <c r="R19" s="13"/>
      <c r="S19" s="13"/>
      <c r="T19" s="11" t="s">
        <v>19</v>
      </c>
      <c r="U19" s="13"/>
      <c r="V19" s="13"/>
      <c r="W19" s="13"/>
      <c r="X19" s="13"/>
      <c r="Y19" s="13"/>
      <c r="Z19" s="13"/>
      <c r="AA19" s="13"/>
    </row>
    <row r="20" spans="1:27" ht="15.75" x14ac:dyDescent="0.25">
      <c r="A20" s="53" t="s">
        <v>203</v>
      </c>
      <c r="B20" s="54"/>
      <c r="C20" s="54"/>
      <c r="D20" s="54"/>
      <c r="E20" s="54"/>
      <c r="F20" s="54"/>
      <c r="G20" s="54"/>
      <c r="H20" s="54"/>
      <c r="I20" s="54"/>
      <c r="J20" s="54"/>
      <c r="K20" s="54"/>
      <c r="L20" s="54"/>
      <c r="M20" s="54"/>
      <c r="N20" s="54"/>
      <c r="O20" s="54"/>
      <c r="P20" s="54"/>
      <c r="Q20" s="54"/>
      <c r="R20" s="54"/>
      <c r="S20" s="54"/>
      <c r="T20" s="54"/>
      <c r="U20" s="54"/>
      <c r="V20" s="54"/>
      <c r="W20" s="54"/>
      <c r="X20" s="54"/>
      <c r="Y20" s="54"/>
      <c r="Z20" s="54"/>
      <c r="AA20" s="55"/>
    </row>
    <row r="21" spans="1:27" ht="45" x14ac:dyDescent="0.25">
      <c r="A21" s="11" t="s">
        <v>1762</v>
      </c>
      <c r="B21" s="12" t="s">
        <v>1700</v>
      </c>
      <c r="C21" s="11" t="s">
        <v>1763</v>
      </c>
      <c r="D21" s="11" t="s">
        <v>1764</v>
      </c>
      <c r="E21" s="11" t="s">
        <v>1765</v>
      </c>
      <c r="F21" s="11" t="s">
        <v>206</v>
      </c>
      <c r="G21" s="11" t="s">
        <v>67</v>
      </c>
      <c r="H21" s="11"/>
      <c r="I21" s="11" t="s">
        <v>1766</v>
      </c>
      <c r="J21" s="11" t="s">
        <v>1767</v>
      </c>
      <c r="K21" s="11"/>
      <c r="L21" s="11" t="s">
        <v>70</v>
      </c>
      <c r="M21" s="11" t="s">
        <v>71</v>
      </c>
      <c r="N21" s="11" t="s">
        <v>72</v>
      </c>
      <c r="O21" s="11" t="s">
        <v>19</v>
      </c>
      <c r="P21" s="13"/>
      <c r="Q21" s="13"/>
      <c r="R21" s="13"/>
      <c r="S21" s="13"/>
      <c r="T21" s="11" t="s">
        <v>19</v>
      </c>
      <c r="U21" s="13"/>
      <c r="V21" s="13"/>
      <c r="W21" s="13"/>
      <c r="X21" s="13"/>
      <c r="Y21" s="13"/>
      <c r="Z21" s="13"/>
      <c r="AA21" s="13"/>
    </row>
    <row r="22" spans="1:27" ht="30" x14ac:dyDescent="0.25">
      <c r="A22" s="11" t="s">
        <v>1768</v>
      </c>
      <c r="B22" s="12" t="s">
        <v>1700</v>
      </c>
      <c r="C22" s="11" t="s">
        <v>1763</v>
      </c>
      <c r="D22" s="11" t="s">
        <v>1764</v>
      </c>
      <c r="E22" s="11" t="s">
        <v>1769</v>
      </c>
      <c r="F22" s="11" t="s">
        <v>206</v>
      </c>
      <c r="G22" s="11" t="s">
        <v>75</v>
      </c>
      <c r="H22" s="11"/>
      <c r="I22" s="11" t="s">
        <v>1770</v>
      </c>
      <c r="J22" s="11" t="s">
        <v>1771</v>
      </c>
      <c r="K22" s="11"/>
      <c r="L22" s="11" t="s">
        <v>70</v>
      </c>
      <c r="M22" s="11" t="s">
        <v>71</v>
      </c>
      <c r="N22" s="11" t="s">
        <v>72</v>
      </c>
      <c r="O22" s="11" t="s">
        <v>19</v>
      </c>
      <c r="P22" s="13"/>
      <c r="Q22" s="13"/>
      <c r="R22" s="13"/>
      <c r="S22" s="13"/>
      <c r="T22" s="11" t="s">
        <v>19</v>
      </c>
      <c r="U22" s="13"/>
      <c r="V22" s="13"/>
      <c r="W22" s="13"/>
      <c r="X22" s="13"/>
      <c r="Y22" s="13"/>
      <c r="Z22" s="13"/>
      <c r="AA22" s="13"/>
    </row>
    <row r="23" spans="1:27" ht="30" x14ac:dyDescent="0.25">
      <c r="A23" s="11" t="s">
        <v>1772</v>
      </c>
      <c r="B23" s="12" t="s">
        <v>1700</v>
      </c>
      <c r="C23" s="11" t="s">
        <v>1773</v>
      </c>
      <c r="D23" s="11" t="s">
        <v>1774</v>
      </c>
      <c r="E23" s="11" t="s">
        <v>1775</v>
      </c>
      <c r="F23" s="11" t="s">
        <v>206</v>
      </c>
      <c r="G23" s="11" t="s">
        <v>75</v>
      </c>
      <c r="H23" s="11"/>
      <c r="I23" s="11" t="s">
        <v>1776</v>
      </c>
      <c r="J23" s="11" t="s">
        <v>1777</v>
      </c>
      <c r="K23" s="11"/>
      <c r="L23" s="11" t="s">
        <v>70</v>
      </c>
      <c r="M23" s="11" t="s">
        <v>71</v>
      </c>
      <c r="N23" s="11" t="s">
        <v>72</v>
      </c>
      <c r="O23" s="11" t="s">
        <v>19</v>
      </c>
      <c r="P23" s="13"/>
      <c r="Q23" s="13"/>
      <c r="R23" s="13"/>
      <c r="S23" s="13"/>
      <c r="T23" s="11" t="s">
        <v>19</v>
      </c>
      <c r="U23" s="13"/>
      <c r="V23" s="13"/>
      <c r="W23" s="13"/>
      <c r="X23" s="13"/>
      <c r="Y23" s="13"/>
      <c r="Z23" s="13"/>
      <c r="AA23" s="13"/>
    </row>
    <row r="24" spans="1:27" ht="45" x14ac:dyDescent="0.25">
      <c r="A24" s="11" t="s">
        <v>1778</v>
      </c>
      <c r="B24" s="12" t="s">
        <v>1700</v>
      </c>
      <c r="C24" s="11" t="s">
        <v>1741</v>
      </c>
      <c r="D24" s="11" t="s">
        <v>1779</v>
      </c>
      <c r="E24" s="11" t="s">
        <v>1780</v>
      </c>
      <c r="F24" s="11" t="s">
        <v>206</v>
      </c>
      <c r="G24" s="11" t="s">
        <v>75</v>
      </c>
      <c r="H24" s="11"/>
      <c r="I24" s="11" t="s">
        <v>1781</v>
      </c>
      <c r="J24" s="11" t="s">
        <v>1782</v>
      </c>
      <c r="K24" s="11"/>
      <c r="L24" s="11" t="s">
        <v>70</v>
      </c>
      <c r="M24" s="11" t="s">
        <v>71</v>
      </c>
      <c r="N24" s="11" t="s">
        <v>72</v>
      </c>
      <c r="O24" s="11" t="s">
        <v>19</v>
      </c>
      <c r="P24" s="13"/>
      <c r="Q24" s="13"/>
      <c r="R24" s="13"/>
      <c r="S24" s="13"/>
      <c r="T24" s="11" t="s">
        <v>19</v>
      </c>
      <c r="U24" s="13"/>
      <c r="V24" s="13"/>
      <c r="W24" s="13"/>
      <c r="X24" s="13"/>
      <c r="Y24" s="13"/>
      <c r="Z24" s="13"/>
      <c r="AA24" s="13"/>
    </row>
    <row r="25" spans="1:27" ht="45" x14ac:dyDescent="0.25">
      <c r="A25" s="11" t="s">
        <v>1783</v>
      </c>
      <c r="B25" s="12" t="s">
        <v>1700</v>
      </c>
      <c r="C25" s="11" t="s">
        <v>1763</v>
      </c>
      <c r="D25" s="11" t="s">
        <v>1784</v>
      </c>
      <c r="E25" s="11" t="s">
        <v>1785</v>
      </c>
      <c r="F25" s="11" t="s">
        <v>206</v>
      </c>
      <c r="G25" s="11" t="s">
        <v>67</v>
      </c>
      <c r="H25" s="11"/>
      <c r="I25" s="11" t="s">
        <v>1786</v>
      </c>
      <c r="J25" s="11" t="s">
        <v>1787</v>
      </c>
      <c r="K25" s="11"/>
      <c r="L25" s="11" t="s">
        <v>70</v>
      </c>
      <c r="M25" s="11" t="s">
        <v>71</v>
      </c>
      <c r="N25" s="11" t="s">
        <v>72</v>
      </c>
      <c r="O25" s="11" t="s">
        <v>19</v>
      </c>
      <c r="P25" s="13"/>
      <c r="Q25" s="13"/>
      <c r="R25" s="13"/>
      <c r="S25" s="13"/>
      <c r="T25" s="11" t="s">
        <v>19</v>
      </c>
      <c r="U25" s="13"/>
      <c r="V25" s="13"/>
      <c r="W25" s="13"/>
      <c r="X25" s="13"/>
      <c r="Y25" s="13"/>
      <c r="Z25" s="13"/>
      <c r="AA25" s="13"/>
    </row>
    <row r="26" spans="1:27" ht="30" x14ac:dyDescent="0.25">
      <c r="A26" s="11" t="s">
        <v>1788</v>
      </c>
      <c r="B26" s="12" t="s">
        <v>1700</v>
      </c>
      <c r="C26" s="11" t="s">
        <v>1773</v>
      </c>
      <c r="D26" s="11" t="s">
        <v>1789</v>
      </c>
      <c r="E26" s="11" t="s">
        <v>1790</v>
      </c>
      <c r="F26" s="11" t="s">
        <v>206</v>
      </c>
      <c r="G26" s="11" t="s">
        <v>75</v>
      </c>
      <c r="H26" s="11"/>
      <c r="I26" s="11" t="s">
        <v>1791</v>
      </c>
      <c r="J26" s="11" t="s">
        <v>1792</v>
      </c>
      <c r="K26" s="11"/>
      <c r="L26" s="11" t="s">
        <v>70</v>
      </c>
      <c r="M26" s="11" t="s">
        <v>71</v>
      </c>
      <c r="N26" s="11" t="s">
        <v>72</v>
      </c>
      <c r="O26" s="11" t="s">
        <v>19</v>
      </c>
      <c r="P26" s="13"/>
      <c r="Q26" s="13"/>
      <c r="R26" s="13"/>
      <c r="S26" s="13"/>
      <c r="T26" s="11" t="s">
        <v>19</v>
      </c>
      <c r="U26" s="13"/>
      <c r="V26" s="13"/>
      <c r="W26" s="13"/>
      <c r="X26" s="13"/>
      <c r="Y26" s="13"/>
      <c r="Z26" s="13"/>
      <c r="AA26" s="13"/>
    </row>
    <row r="27" spans="1:27" ht="30" x14ac:dyDescent="0.25">
      <c r="A27" s="11" t="s">
        <v>1793</v>
      </c>
      <c r="B27" s="12" t="s">
        <v>1700</v>
      </c>
      <c r="C27" s="11" t="s">
        <v>1773</v>
      </c>
      <c r="D27" s="11" t="s">
        <v>1789</v>
      </c>
      <c r="E27" s="11" t="s">
        <v>1794</v>
      </c>
      <c r="F27" s="11" t="s">
        <v>206</v>
      </c>
      <c r="G27" s="11" t="s">
        <v>75</v>
      </c>
      <c r="H27" s="11"/>
      <c r="I27" s="11" t="s">
        <v>1795</v>
      </c>
      <c r="J27" s="11" t="s">
        <v>1796</v>
      </c>
      <c r="K27" s="11"/>
      <c r="L27" s="11" t="s">
        <v>70</v>
      </c>
      <c r="M27" s="11" t="s">
        <v>71</v>
      </c>
      <c r="N27" s="11" t="s">
        <v>72</v>
      </c>
      <c r="O27" s="11" t="s">
        <v>19</v>
      </c>
      <c r="P27" s="13"/>
      <c r="Q27" s="13"/>
      <c r="R27" s="13"/>
      <c r="S27" s="13"/>
      <c r="T27" s="11" t="s">
        <v>19</v>
      </c>
      <c r="U27" s="13"/>
      <c r="V27" s="13"/>
      <c r="W27" s="13"/>
      <c r="X27" s="13"/>
      <c r="Y27" s="13"/>
      <c r="Z27" s="13"/>
      <c r="AA27" s="13"/>
    </row>
    <row r="28" spans="1:27" ht="30" x14ac:dyDescent="0.25">
      <c r="A28" s="11" t="s">
        <v>1797</v>
      </c>
      <c r="B28" s="12" t="s">
        <v>1700</v>
      </c>
      <c r="C28" s="11" t="s">
        <v>1798</v>
      </c>
      <c r="D28" s="11" t="s">
        <v>1799</v>
      </c>
      <c r="E28" s="11" t="s">
        <v>1800</v>
      </c>
      <c r="F28" s="11" t="s">
        <v>206</v>
      </c>
      <c r="G28" s="11" t="s">
        <v>75</v>
      </c>
      <c r="H28" s="11"/>
      <c r="I28" s="11" t="s">
        <v>1801</v>
      </c>
      <c r="J28" s="11" t="s">
        <v>1802</v>
      </c>
      <c r="K28" s="11"/>
      <c r="L28" s="11" t="s">
        <v>70</v>
      </c>
      <c r="M28" s="11" t="s">
        <v>71</v>
      </c>
      <c r="N28" s="11" t="s">
        <v>72</v>
      </c>
      <c r="O28" s="11" t="s">
        <v>19</v>
      </c>
      <c r="P28" s="13"/>
      <c r="Q28" s="13"/>
      <c r="R28" s="13"/>
      <c r="S28" s="13"/>
      <c r="T28" s="11" t="s">
        <v>19</v>
      </c>
      <c r="U28" s="13"/>
      <c r="V28" s="13"/>
      <c r="W28" s="13"/>
      <c r="X28" s="13"/>
      <c r="Y28" s="13"/>
      <c r="Z28" s="13"/>
      <c r="AA28" s="13"/>
    </row>
    <row r="29" spans="1:27" ht="45" x14ac:dyDescent="0.25">
      <c r="A29" s="11" t="s">
        <v>1803</v>
      </c>
      <c r="B29" s="12" t="s">
        <v>1700</v>
      </c>
      <c r="C29" s="11" t="s">
        <v>1804</v>
      </c>
      <c r="D29" s="11" t="s">
        <v>1805</v>
      </c>
      <c r="E29" s="11" t="s">
        <v>1806</v>
      </c>
      <c r="F29" s="11" t="s">
        <v>206</v>
      </c>
      <c r="G29" s="11" t="s">
        <v>67</v>
      </c>
      <c r="H29" s="11"/>
      <c r="I29" s="11" t="s">
        <v>1807</v>
      </c>
      <c r="J29" s="11" t="s">
        <v>1808</v>
      </c>
      <c r="K29" s="11"/>
      <c r="L29" s="11" t="s">
        <v>70</v>
      </c>
      <c r="M29" s="11" t="s">
        <v>71</v>
      </c>
      <c r="N29" s="11" t="s">
        <v>72</v>
      </c>
      <c r="O29" s="11" t="s">
        <v>19</v>
      </c>
      <c r="P29" s="13"/>
      <c r="Q29" s="13"/>
      <c r="R29" s="13"/>
      <c r="S29" s="13"/>
      <c r="T29" s="11" t="s">
        <v>19</v>
      </c>
      <c r="U29" s="13"/>
      <c r="V29" s="13"/>
      <c r="W29" s="13"/>
      <c r="X29" s="13"/>
      <c r="Y29" s="13"/>
      <c r="Z29" s="13"/>
      <c r="AA29" s="13"/>
    </row>
    <row r="30" spans="1:27" ht="45" x14ac:dyDescent="0.25">
      <c r="A30" s="11" t="s">
        <v>1809</v>
      </c>
      <c r="B30" s="12" t="s">
        <v>1700</v>
      </c>
      <c r="C30" s="11" t="s">
        <v>1804</v>
      </c>
      <c r="D30" s="11" t="s">
        <v>1810</v>
      </c>
      <c r="E30" s="11" t="s">
        <v>1811</v>
      </c>
      <c r="F30" s="11" t="s">
        <v>206</v>
      </c>
      <c r="G30" s="11" t="s">
        <v>75</v>
      </c>
      <c r="H30" s="11"/>
      <c r="I30" s="11" t="s">
        <v>1812</v>
      </c>
      <c r="J30" s="11" t="s">
        <v>1813</v>
      </c>
      <c r="K30" s="11"/>
      <c r="L30" s="11" t="s">
        <v>70</v>
      </c>
      <c r="M30" s="11" t="s">
        <v>71</v>
      </c>
      <c r="N30" s="11" t="s">
        <v>72</v>
      </c>
      <c r="O30" s="11" t="s">
        <v>19</v>
      </c>
      <c r="P30" s="13"/>
      <c r="Q30" s="13"/>
      <c r="R30" s="13"/>
      <c r="S30" s="13"/>
      <c r="T30" s="11" t="s">
        <v>19</v>
      </c>
      <c r="U30" s="13"/>
      <c r="V30" s="13"/>
      <c r="W30" s="13"/>
      <c r="X30" s="13"/>
      <c r="Y30" s="13"/>
      <c r="Z30" s="13"/>
      <c r="AA30" s="13"/>
    </row>
    <row r="31" spans="1:27" ht="30" x14ac:dyDescent="0.25">
      <c r="A31" s="11" t="s">
        <v>1814</v>
      </c>
      <c r="B31" s="12" t="s">
        <v>1752</v>
      </c>
      <c r="C31" s="11" t="s">
        <v>1815</v>
      </c>
      <c r="D31" s="11" t="s">
        <v>1816</v>
      </c>
      <c r="E31" s="11" t="s">
        <v>1817</v>
      </c>
      <c r="F31" s="11" t="s">
        <v>206</v>
      </c>
      <c r="G31" s="11" t="s">
        <v>67</v>
      </c>
      <c r="H31" s="11"/>
      <c r="I31" s="11" t="s">
        <v>1818</v>
      </c>
      <c r="J31" s="11" t="s">
        <v>1819</v>
      </c>
      <c r="K31" s="11"/>
      <c r="L31" s="11" t="s">
        <v>70</v>
      </c>
      <c r="M31" s="11" t="s">
        <v>71</v>
      </c>
      <c r="N31" s="11" t="s">
        <v>72</v>
      </c>
      <c r="O31" s="11" t="s">
        <v>19</v>
      </c>
      <c r="P31" s="13"/>
      <c r="Q31" s="13"/>
      <c r="R31" s="13"/>
      <c r="S31" s="13"/>
      <c r="T31" s="11" t="s">
        <v>19</v>
      </c>
      <c r="U31" s="13"/>
      <c r="V31" s="13"/>
      <c r="W31" s="13"/>
      <c r="X31" s="13"/>
      <c r="Y31" s="13"/>
      <c r="Z31" s="13"/>
      <c r="AA31" s="13"/>
    </row>
    <row r="32" spans="1:27" ht="30" x14ac:dyDescent="0.25">
      <c r="A32" s="11" t="s">
        <v>1820</v>
      </c>
      <c r="B32" s="12" t="s">
        <v>1752</v>
      </c>
      <c r="C32" s="11" t="s">
        <v>1815</v>
      </c>
      <c r="D32" s="11" t="s">
        <v>1821</v>
      </c>
      <c r="E32" s="11" t="s">
        <v>1822</v>
      </c>
      <c r="F32" s="11" t="s">
        <v>587</v>
      </c>
      <c r="G32" s="11" t="s">
        <v>94</v>
      </c>
      <c r="H32" s="11"/>
      <c r="I32" s="11" t="s">
        <v>1823</v>
      </c>
      <c r="J32" s="11" t="s">
        <v>1824</v>
      </c>
      <c r="K32" s="11"/>
      <c r="L32" s="11" t="s">
        <v>70</v>
      </c>
      <c r="M32" s="11" t="s">
        <v>71</v>
      </c>
      <c r="N32" s="11" t="s">
        <v>72</v>
      </c>
      <c r="O32" s="11" t="s">
        <v>19</v>
      </c>
      <c r="P32" s="13"/>
      <c r="Q32" s="13"/>
      <c r="R32" s="13"/>
      <c r="S32" s="13"/>
      <c r="T32" s="11" t="s">
        <v>19</v>
      </c>
      <c r="U32" s="13"/>
      <c r="V32" s="13"/>
      <c r="W32" s="13"/>
      <c r="X32" s="13"/>
      <c r="Y32" s="13"/>
      <c r="Z32" s="13"/>
      <c r="AA32" s="13"/>
    </row>
    <row r="33" spans="1:27" ht="15.75" x14ac:dyDescent="0.25">
      <c r="A33" s="53" t="s">
        <v>234</v>
      </c>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5"/>
    </row>
    <row r="34" spans="1:27" ht="45" x14ac:dyDescent="0.25">
      <c r="A34" s="11" t="s">
        <v>1825</v>
      </c>
      <c r="B34" s="12" t="s">
        <v>1700</v>
      </c>
      <c r="C34" s="11" t="s">
        <v>1763</v>
      </c>
      <c r="D34" s="11" t="s">
        <v>1764</v>
      </c>
      <c r="E34" s="11" t="s">
        <v>1826</v>
      </c>
      <c r="F34" s="11" t="s">
        <v>237</v>
      </c>
      <c r="G34" s="11" t="s">
        <v>67</v>
      </c>
      <c r="H34" s="11"/>
      <c r="I34" s="11" t="s">
        <v>1827</v>
      </c>
      <c r="J34" s="11" t="s">
        <v>1828</v>
      </c>
      <c r="K34" s="11"/>
      <c r="L34" s="11" t="s">
        <v>70</v>
      </c>
      <c r="M34" s="11" t="s">
        <v>71</v>
      </c>
      <c r="N34" s="11" t="s">
        <v>72</v>
      </c>
      <c r="O34" s="11" t="s">
        <v>19</v>
      </c>
      <c r="P34" s="13"/>
      <c r="Q34" s="13"/>
      <c r="R34" s="13"/>
      <c r="S34" s="13"/>
      <c r="T34" s="11" t="s">
        <v>19</v>
      </c>
      <c r="U34" s="13"/>
      <c r="V34" s="13"/>
      <c r="W34" s="13"/>
      <c r="X34" s="13"/>
      <c r="Y34" s="13"/>
      <c r="Z34" s="13"/>
      <c r="AA34" s="13"/>
    </row>
    <row r="35" spans="1:27" ht="60" x14ac:dyDescent="0.25">
      <c r="A35" s="11" t="s">
        <v>1829</v>
      </c>
      <c r="B35" s="12" t="s">
        <v>1700</v>
      </c>
      <c r="C35" s="11" t="s">
        <v>1741</v>
      </c>
      <c r="D35" s="11" t="s">
        <v>1830</v>
      </c>
      <c r="E35" s="11" t="s">
        <v>1831</v>
      </c>
      <c r="F35" s="11" t="s">
        <v>237</v>
      </c>
      <c r="G35" s="11" t="s">
        <v>75</v>
      </c>
      <c r="H35" s="11"/>
      <c r="I35" s="11" t="s">
        <v>1832</v>
      </c>
      <c r="J35" s="11" t="s">
        <v>1833</v>
      </c>
      <c r="K35" s="11"/>
      <c r="L35" s="11" t="s">
        <v>70</v>
      </c>
      <c r="M35" s="11" t="s">
        <v>71</v>
      </c>
      <c r="N35" s="11" t="s">
        <v>72</v>
      </c>
      <c r="O35" s="11" t="s">
        <v>19</v>
      </c>
      <c r="P35" s="13"/>
      <c r="Q35" s="13"/>
      <c r="R35" s="13"/>
      <c r="S35" s="13"/>
      <c r="T35" s="11" t="s">
        <v>19</v>
      </c>
      <c r="U35" s="13"/>
      <c r="V35" s="13"/>
      <c r="W35" s="13"/>
      <c r="X35" s="13"/>
      <c r="Y35" s="13"/>
      <c r="Z35" s="13"/>
      <c r="AA35" s="13"/>
    </row>
    <row r="36" spans="1:27" ht="60" x14ac:dyDescent="0.25">
      <c r="A36" s="11" t="s">
        <v>1834</v>
      </c>
      <c r="B36" s="12" t="s">
        <v>1700</v>
      </c>
      <c r="C36" s="11" t="s">
        <v>1741</v>
      </c>
      <c r="D36" s="11" t="s">
        <v>1830</v>
      </c>
      <c r="E36" s="11" t="s">
        <v>1835</v>
      </c>
      <c r="F36" s="11" t="s">
        <v>237</v>
      </c>
      <c r="G36" s="11" t="s">
        <v>75</v>
      </c>
      <c r="H36" s="11"/>
      <c r="I36" s="11" t="s">
        <v>1836</v>
      </c>
      <c r="J36" s="11" t="s">
        <v>1837</v>
      </c>
      <c r="K36" s="11"/>
      <c r="L36" s="11" t="s">
        <v>70</v>
      </c>
      <c r="M36" s="11" t="s">
        <v>71</v>
      </c>
      <c r="N36" s="11" t="s">
        <v>72</v>
      </c>
      <c r="O36" s="11" t="s">
        <v>19</v>
      </c>
      <c r="P36" s="13"/>
      <c r="Q36" s="13"/>
      <c r="R36" s="13"/>
      <c r="S36" s="13"/>
      <c r="T36" s="11" t="s">
        <v>19</v>
      </c>
      <c r="U36" s="13"/>
      <c r="V36" s="13"/>
      <c r="W36" s="13"/>
      <c r="X36" s="13"/>
      <c r="Y36" s="13"/>
      <c r="Z36" s="13"/>
      <c r="AA36" s="13"/>
    </row>
    <row r="37" spans="1:27" ht="60" x14ac:dyDescent="0.25">
      <c r="A37" s="11" t="s">
        <v>1838</v>
      </c>
      <c r="B37" s="12" t="s">
        <v>1700</v>
      </c>
      <c r="C37" s="11" t="s">
        <v>1741</v>
      </c>
      <c r="D37" s="11" t="s">
        <v>1830</v>
      </c>
      <c r="E37" s="11" t="s">
        <v>1839</v>
      </c>
      <c r="F37" s="11" t="s">
        <v>237</v>
      </c>
      <c r="G37" s="11" t="s">
        <v>75</v>
      </c>
      <c r="H37" s="11"/>
      <c r="I37" s="11" t="s">
        <v>1840</v>
      </c>
      <c r="J37" s="11" t="s">
        <v>1841</v>
      </c>
      <c r="K37" s="11"/>
      <c r="L37" s="11" t="s">
        <v>70</v>
      </c>
      <c r="M37" s="11" t="s">
        <v>71</v>
      </c>
      <c r="N37" s="11" t="s">
        <v>72</v>
      </c>
      <c r="O37" s="11" t="s">
        <v>19</v>
      </c>
      <c r="P37" s="13"/>
      <c r="Q37" s="13"/>
      <c r="R37" s="13"/>
      <c r="S37" s="13"/>
      <c r="T37" s="11" t="s">
        <v>19</v>
      </c>
      <c r="U37" s="13"/>
      <c r="V37" s="13"/>
      <c r="W37" s="13"/>
      <c r="X37" s="13"/>
      <c r="Y37" s="13"/>
      <c r="Z37" s="13"/>
      <c r="AA37" s="13"/>
    </row>
    <row r="38" spans="1:27" ht="30" x14ac:dyDescent="0.25">
      <c r="A38" s="11" t="s">
        <v>1842</v>
      </c>
      <c r="B38" s="12" t="s">
        <v>1700</v>
      </c>
      <c r="C38" s="11" t="s">
        <v>1741</v>
      </c>
      <c r="D38" s="11" t="s">
        <v>1830</v>
      </c>
      <c r="E38" s="11" t="s">
        <v>1843</v>
      </c>
      <c r="F38" s="11" t="s">
        <v>237</v>
      </c>
      <c r="G38" s="11" t="s">
        <v>94</v>
      </c>
      <c r="H38" s="11"/>
      <c r="I38" s="11" t="s">
        <v>1844</v>
      </c>
      <c r="J38" s="11" t="s">
        <v>1845</v>
      </c>
      <c r="K38" s="11"/>
      <c r="L38" s="11" t="s">
        <v>70</v>
      </c>
      <c r="M38" s="11" t="s">
        <v>71</v>
      </c>
      <c r="N38" s="11" t="s">
        <v>72</v>
      </c>
      <c r="O38" s="11" t="s">
        <v>19</v>
      </c>
      <c r="P38" s="13"/>
      <c r="Q38" s="13"/>
      <c r="R38" s="13"/>
      <c r="S38" s="13"/>
      <c r="T38" s="11" t="s">
        <v>19</v>
      </c>
      <c r="U38" s="13"/>
      <c r="V38" s="13"/>
      <c r="W38" s="13"/>
      <c r="X38" s="13"/>
      <c r="Y38" s="13"/>
      <c r="Z38" s="13"/>
      <c r="AA38" s="13"/>
    </row>
    <row r="39" spans="1:27" ht="60" x14ac:dyDescent="0.25">
      <c r="A39" s="11" t="s">
        <v>1846</v>
      </c>
      <c r="B39" s="12" t="s">
        <v>1700</v>
      </c>
      <c r="C39" s="11" t="s">
        <v>1741</v>
      </c>
      <c r="D39" s="11" t="s">
        <v>1847</v>
      </c>
      <c r="E39" s="11" t="s">
        <v>1848</v>
      </c>
      <c r="F39" s="11" t="s">
        <v>237</v>
      </c>
      <c r="G39" s="11" t="s">
        <v>75</v>
      </c>
      <c r="H39" s="11"/>
      <c r="I39" s="11" t="s">
        <v>1849</v>
      </c>
      <c r="J39" s="11" t="s">
        <v>1850</v>
      </c>
      <c r="K39" s="11"/>
      <c r="L39" s="11" t="s">
        <v>70</v>
      </c>
      <c r="M39" s="11" t="s">
        <v>71</v>
      </c>
      <c r="N39" s="11" t="s">
        <v>72</v>
      </c>
      <c r="O39" s="11" t="s">
        <v>19</v>
      </c>
      <c r="P39" s="13"/>
      <c r="Q39" s="13"/>
      <c r="R39" s="13"/>
      <c r="S39" s="13"/>
      <c r="T39" s="11" t="s">
        <v>19</v>
      </c>
      <c r="U39" s="13"/>
      <c r="V39" s="13"/>
      <c r="W39" s="13"/>
      <c r="X39" s="13"/>
      <c r="Y39" s="13"/>
      <c r="Z39" s="13"/>
      <c r="AA39" s="13"/>
    </row>
    <row r="40" spans="1:27" ht="45" x14ac:dyDescent="0.25">
      <c r="A40" s="11" t="s">
        <v>1851</v>
      </c>
      <c r="B40" s="12" t="s">
        <v>1700</v>
      </c>
      <c r="C40" s="11" t="s">
        <v>1741</v>
      </c>
      <c r="D40" s="11" t="s">
        <v>1847</v>
      </c>
      <c r="E40" s="11" t="s">
        <v>1852</v>
      </c>
      <c r="F40" s="11" t="s">
        <v>237</v>
      </c>
      <c r="G40" s="11" t="s">
        <v>75</v>
      </c>
      <c r="H40" s="11"/>
      <c r="I40" s="11" t="s">
        <v>1853</v>
      </c>
      <c r="J40" s="11" t="s">
        <v>1854</v>
      </c>
      <c r="K40" s="11"/>
      <c r="L40" s="11" t="s">
        <v>70</v>
      </c>
      <c r="M40" s="11" t="s">
        <v>71</v>
      </c>
      <c r="N40" s="11" t="s">
        <v>72</v>
      </c>
      <c r="O40" s="11" t="s">
        <v>19</v>
      </c>
      <c r="P40" s="13"/>
      <c r="Q40" s="13"/>
      <c r="R40" s="13"/>
      <c r="S40" s="13"/>
      <c r="T40" s="11" t="s">
        <v>19</v>
      </c>
      <c r="U40" s="13"/>
      <c r="V40" s="13"/>
      <c r="W40" s="13"/>
      <c r="X40" s="13"/>
      <c r="Y40" s="13"/>
      <c r="Z40" s="13"/>
      <c r="AA40" s="13"/>
    </row>
    <row r="41" spans="1:27" ht="45" x14ac:dyDescent="0.25">
      <c r="A41" s="11" t="s">
        <v>1855</v>
      </c>
      <c r="B41" s="12" t="s">
        <v>1700</v>
      </c>
      <c r="C41" s="11" t="s">
        <v>1741</v>
      </c>
      <c r="D41" s="11" t="s">
        <v>1856</v>
      </c>
      <c r="E41" s="11" t="s">
        <v>1857</v>
      </c>
      <c r="F41" s="11" t="s">
        <v>237</v>
      </c>
      <c r="G41" s="11" t="s">
        <v>75</v>
      </c>
      <c r="H41" s="11"/>
      <c r="I41" s="11" t="s">
        <v>1858</v>
      </c>
      <c r="J41" s="11" t="s">
        <v>1859</v>
      </c>
      <c r="K41" s="11"/>
      <c r="L41" s="11" t="s">
        <v>70</v>
      </c>
      <c r="M41" s="11" t="s">
        <v>71</v>
      </c>
      <c r="N41" s="11" t="s">
        <v>72</v>
      </c>
      <c r="O41" s="11" t="s">
        <v>19</v>
      </c>
      <c r="P41" s="13"/>
      <c r="Q41" s="13"/>
      <c r="R41" s="13"/>
      <c r="S41" s="13"/>
      <c r="T41" s="11" t="s">
        <v>19</v>
      </c>
      <c r="U41" s="13"/>
      <c r="V41" s="13"/>
      <c r="W41" s="13"/>
      <c r="X41" s="13"/>
      <c r="Y41" s="13"/>
      <c r="Z41" s="13"/>
      <c r="AA41" s="13"/>
    </row>
    <row r="42" spans="1:27" ht="45" x14ac:dyDescent="0.25">
      <c r="A42" s="11" t="s">
        <v>1860</v>
      </c>
      <c r="B42" s="12" t="s">
        <v>1700</v>
      </c>
      <c r="C42" s="11" t="s">
        <v>1741</v>
      </c>
      <c r="D42" s="11" t="s">
        <v>1856</v>
      </c>
      <c r="E42" s="11" t="s">
        <v>1861</v>
      </c>
      <c r="F42" s="11" t="s">
        <v>237</v>
      </c>
      <c r="G42" s="11" t="s">
        <v>94</v>
      </c>
      <c r="H42" s="11"/>
      <c r="I42" s="11" t="s">
        <v>1862</v>
      </c>
      <c r="J42" s="11" t="s">
        <v>1863</v>
      </c>
      <c r="K42" s="11"/>
      <c r="L42" s="11" t="s">
        <v>70</v>
      </c>
      <c r="M42" s="11" t="s">
        <v>71</v>
      </c>
      <c r="N42" s="11" t="s">
        <v>72</v>
      </c>
      <c r="O42" s="11" t="s">
        <v>19</v>
      </c>
      <c r="P42" s="13"/>
      <c r="Q42" s="13"/>
      <c r="R42" s="13"/>
      <c r="S42" s="13"/>
      <c r="T42" s="11" t="s">
        <v>19</v>
      </c>
      <c r="U42" s="13"/>
      <c r="V42" s="13"/>
      <c r="W42" s="13"/>
      <c r="X42" s="13"/>
      <c r="Y42" s="13"/>
      <c r="Z42" s="13"/>
      <c r="AA42" s="13"/>
    </row>
    <row r="43" spans="1:27" ht="60" x14ac:dyDescent="0.25">
      <c r="A43" s="11" t="s">
        <v>1864</v>
      </c>
      <c r="B43" s="12" t="s">
        <v>1700</v>
      </c>
      <c r="C43" s="11" t="s">
        <v>1798</v>
      </c>
      <c r="D43" s="11" t="s">
        <v>1865</v>
      </c>
      <c r="E43" s="11" t="s">
        <v>1866</v>
      </c>
      <c r="F43" s="11" t="s">
        <v>237</v>
      </c>
      <c r="G43" s="11" t="s">
        <v>75</v>
      </c>
      <c r="H43" s="11"/>
      <c r="I43" s="11" t="s">
        <v>1867</v>
      </c>
      <c r="J43" s="11" t="s">
        <v>1868</v>
      </c>
      <c r="K43" s="11"/>
      <c r="L43" s="11" t="s">
        <v>70</v>
      </c>
      <c r="M43" s="11" t="s">
        <v>71</v>
      </c>
      <c r="N43" s="11" t="s">
        <v>72</v>
      </c>
      <c r="O43" s="11" t="s">
        <v>19</v>
      </c>
      <c r="P43" s="13"/>
      <c r="Q43" s="13"/>
      <c r="R43" s="13"/>
      <c r="S43" s="13"/>
      <c r="T43" s="11" t="s">
        <v>19</v>
      </c>
      <c r="U43" s="13"/>
      <c r="V43" s="13"/>
      <c r="W43" s="13"/>
      <c r="X43" s="13"/>
      <c r="Y43" s="13"/>
      <c r="Z43" s="13"/>
      <c r="AA43" s="13"/>
    </row>
    <row r="44" spans="1:27" ht="60" x14ac:dyDescent="0.25">
      <c r="A44" s="11" t="s">
        <v>1869</v>
      </c>
      <c r="B44" s="12" t="s">
        <v>1700</v>
      </c>
      <c r="C44" s="11" t="s">
        <v>1773</v>
      </c>
      <c r="D44" s="11" t="s">
        <v>1870</v>
      </c>
      <c r="E44" s="11" t="s">
        <v>1871</v>
      </c>
      <c r="F44" s="11" t="s">
        <v>237</v>
      </c>
      <c r="G44" s="11" t="s">
        <v>75</v>
      </c>
      <c r="H44" s="11"/>
      <c r="I44" s="11" t="s">
        <v>1872</v>
      </c>
      <c r="J44" s="11" t="s">
        <v>1873</v>
      </c>
      <c r="K44" s="11"/>
      <c r="L44" s="11" t="s">
        <v>70</v>
      </c>
      <c r="M44" s="11" t="s">
        <v>71</v>
      </c>
      <c r="N44" s="11" t="s">
        <v>72</v>
      </c>
      <c r="O44" s="11" t="s">
        <v>19</v>
      </c>
      <c r="P44" s="13"/>
      <c r="Q44" s="13"/>
      <c r="R44" s="13"/>
      <c r="S44" s="13"/>
      <c r="T44" s="11" t="s">
        <v>19</v>
      </c>
      <c r="U44" s="13"/>
      <c r="V44" s="13"/>
      <c r="W44" s="13"/>
      <c r="X44" s="13"/>
      <c r="Y44" s="13"/>
      <c r="Z44" s="13"/>
      <c r="AA44" s="13"/>
    </row>
    <row r="45" spans="1:27" ht="45" x14ac:dyDescent="0.25">
      <c r="A45" s="11" t="s">
        <v>1874</v>
      </c>
      <c r="B45" s="12" t="s">
        <v>1700</v>
      </c>
      <c r="C45" s="11" t="s">
        <v>1773</v>
      </c>
      <c r="D45" s="11" t="s">
        <v>1774</v>
      </c>
      <c r="E45" s="11" t="s">
        <v>1875</v>
      </c>
      <c r="F45" s="11" t="s">
        <v>237</v>
      </c>
      <c r="G45" s="11" t="s">
        <v>75</v>
      </c>
      <c r="H45" s="11"/>
      <c r="I45" s="11" t="s">
        <v>1876</v>
      </c>
      <c r="J45" s="11" t="s">
        <v>1877</v>
      </c>
      <c r="K45" s="11"/>
      <c r="L45" s="11" t="s">
        <v>70</v>
      </c>
      <c r="M45" s="11" t="s">
        <v>71</v>
      </c>
      <c r="N45" s="11" t="s">
        <v>72</v>
      </c>
      <c r="O45" s="11" t="s">
        <v>19</v>
      </c>
      <c r="P45" s="13"/>
      <c r="Q45" s="13"/>
      <c r="R45" s="13"/>
      <c r="S45" s="13"/>
      <c r="T45" s="11" t="s">
        <v>19</v>
      </c>
      <c r="U45" s="13"/>
      <c r="V45" s="13"/>
      <c r="W45" s="13"/>
      <c r="X45" s="13"/>
      <c r="Y45" s="13"/>
      <c r="Z45" s="13"/>
      <c r="AA45" s="13"/>
    </row>
    <row r="46" spans="1:27" ht="60" x14ac:dyDescent="0.25">
      <c r="A46" s="11" t="s">
        <v>1878</v>
      </c>
      <c r="B46" s="12" t="s">
        <v>1700</v>
      </c>
      <c r="C46" s="11" t="s">
        <v>1763</v>
      </c>
      <c r="D46" s="11" t="s">
        <v>1784</v>
      </c>
      <c r="E46" s="11" t="s">
        <v>1879</v>
      </c>
      <c r="F46" s="11" t="s">
        <v>237</v>
      </c>
      <c r="G46" s="11" t="s">
        <v>67</v>
      </c>
      <c r="H46" s="11"/>
      <c r="I46" s="11" t="s">
        <v>1880</v>
      </c>
      <c r="J46" s="11" t="s">
        <v>1881</v>
      </c>
      <c r="K46" s="11"/>
      <c r="L46" s="11" t="s">
        <v>70</v>
      </c>
      <c r="M46" s="11" t="s">
        <v>71</v>
      </c>
      <c r="N46" s="11" t="s">
        <v>72</v>
      </c>
      <c r="O46" s="11" t="s">
        <v>19</v>
      </c>
      <c r="P46" s="13"/>
      <c r="Q46" s="13"/>
      <c r="R46" s="13"/>
      <c r="S46" s="13"/>
      <c r="T46" s="11" t="s">
        <v>19</v>
      </c>
      <c r="U46" s="13"/>
      <c r="V46" s="13"/>
      <c r="W46" s="13"/>
      <c r="X46" s="13"/>
      <c r="Y46" s="13"/>
      <c r="Z46" s="13"/>
      <c r="AA46" s="13"/>
    </row>
    <row r="47" spans="1:27" ht="30" x14ac:dyDescent="0.25">
      <c r="A47" s="11" t="s">
        <v>1882</v>
      </c>
      <c r="B47" s="12" t="s">
        <v>1700</v>
      </c>
      <c r="C47" s="11" t="s">
        <v>1763</v>
      </c>
      <c r="D47" s="11" t="s">
        <v>1784</v>
      </c>
      <c r="E47" s="11" t="s">
        <v>1883</v>
      </c>
      <c r="F47" s="11" t="s">
        <v>237</v>
      </c>
      <c r="G47" s="11" t="s">
        <v>94</v>
      </c>
      <c r="H47" s="11"/>
      <c r="I47" s="11" t="s">
        <v>1884</v>
      </c>
      <c r="J47" s="11" t="s">
        <v>1885</v>
      </c>
      <c r="K47" s="11"/>
      <c r="L47" s="11" t="s">
        <v>70</v>
      </c>
      <c r="M47" s="11" t="s">
        <v>71</v>
      </c>
      <c r="N47" s="11" t="s">
        <v>72</v>
      </c>
      <c r="O47" s="11" t="s">
        <v>19</v>
      </c>
      <c r="P47" s="13"/>
      <c r="Q47" s="13"/>
      <c r="R47" s="13"/>
      <c r="S47" s="13"/>
      <c r="T47" s="11" t="s">
        <v>19</v>
      </c>
      <c r="U47" s="13"/>
      <c r="V47" s="13"/>
      <c r="W47" s="13"/>
      <c r="X47" s="13"/>
      <c r="Y47" s="13"/>
      <c r="Z47" s="13"/>
      <c r="AA47" s="13"/>
    </row>
    <row r="48" spans="1:27" ht="75" x14ac:dyDescent="0.25">
      <c r="A48" s="11" t="s">
        <v>1886</v>
      </c>
      <c r="B48" s="12" t="s">
        <v>1700</v>
      </c>
      <c r="C48" s="11" t="s">
        <v>1741</v>
      </c>
      <c r="D48" s="11" t="s">
        <v>1887</v>
      </c>
      <c r="E48" s="11" t="s">
        <v>1888</v>
      </c>
      <c r="F48" s="11" t="s">
        <v>237</v>
      </c>
      <c r="G48" s="11" t="s">
        <v>67</v>
      </c>
      <c r="H48" s="11"/>
      <c r="I48" s="11" t="s">
        <v>1889</v>
      </c>
      <c r="J48" s="11" t="s">
        <v>1890</v>
      </c>
      <c r="K48" s="11"/>
      <c r="L48" s="11" t="s">
        <v>70</v>
      </c>
      <c r="M48" s="11" t="s">
        <v>71</v>
      </c>
      <c r="N48" s="11" t="s">
        <v>72</v>
      </c>
      <c r="O48" s="11" t="s">
        <v>19</v>
      </c>
      <c r="P48" s="13"/>
      <c r="Q48" s="13"/>
      <c r="R48" s="13"/>
      <c r="S48" s="13"/>
      <c r="T48" s="11" t="s">
        <v>19</v>
      </c>
      <c r="U48" s="13"/>
      <c r="V48" s="13"/>
      <c r="W48" s="13"/>
      <c r="X48" s="13"/>
      <c r="Y48" s="13"/>
      <c r="Z48" s="13"/>
      <c r="AA48" s="13"/>
    </row>
    <row r="49" spans="1:27" ht="45" x14ac:dyDescent="0.25">
      <c r="A49" s="11" t="s">
        <v>1891</v>
      </c>
      <c r="B49" s="12" t="s">
        <v>1700</v>
      </c>
      <c r="C49" s="11" t="s">
        <v>1741</v>
      </c>
      <c r="D49" s="11" t="s">
        <v>1892</v>
      </c>
      <c r="E49" s="11" t="s">
        <v>1893</v>
      </c>
      <c r="F49" s="11" t="s">
        <v>237</v>
      </c>
      <c r="G49" s="11" t="s">
        <v>75</v>
      </c>
      <c r="H49" s="11"/>
      <c r="I49" s="11" t="s">
        <v>1894</v>
      </c>
      <c r="J49" s="11" t="s">
        <v>1895</v>
      </c>
      <c r="K49" s="11"/>
      <c r="L49" s="11" t="s">
        <v>70</v>
      </c>
      <c r="M49" s="11" t="s">
        <v>71</v>
      </c>
      <c r="N49" s="11" t="s">
        <v>72</v>
      </c>
      <c r="O49" s="11" t="s">
        <v>19</v>
      </c>
      <c r="P49" s="13"/>
      <c r="Q49" s="13"/>
      <c r="R49" s="13"/>
      <c r="S49" s="13"/>
      <c r="T49" s="11" t="s">
        <v>19</v>
      </c>
      <c r="U49" s="13"/>
      <c r="V49" s="13"/>
      <c r="W49" s="13"/>
      <c r="X49" s="13"/>
      <c r="Y49" s="13"/>
      <c r="Z49" s="13"/>
      <c r="AA49" s="13"/>
    </row>
    <row r="50" spans="1:27" ht="30" x14ac:dyDescent="0.25">
      <c r="A50" s="11" t="s">
        <v>1896</v>
      </c>
      <c r="B50" s="12" t="s">
        <v>1700</v>
      </c>
      <c r="C50" s="11" t="s">
        <v>1897</v>
      </c>
      <c r="D50" s="11" t="s">
        <v>1898</v>
      </c>
      <c r="E50" s="11" t="s">
        <v>1899</v>
      </c>
      <c r="F50" s="11" t="s">
        <v>237</v>
      </c>
      <c r="G50" s="11" t="s">
        <v>67</v>
      </c>
      <c r="H50" s="11"/>
      <c r="I50" s="11" t="s">
        <v>1900</v>
      </c>
      <c r="J50" s="11" t="s">
        <v>1901</v>
      </c>
      <c r="K50" s="11"/>
      <c r="L50" s="11" t="s">
        <v>70</v>
      </c>
      <c r="M50" s="11" t="s">
        <v>71</v>
      </c>
      <c r="N50" s="11" t="s">
        <v>72</v>
      </c>
      <c r="O50" s="11" t="s">
        <v>19</v>
      </c>
      <c r="P50" s="13"/>
      <c r="Q50" s="13"/>
      <c r="R50" s="13"/>
      <c r="S50" s="13"/>
      <c r="T50" s="11" t="s">
        <v>19</v>
      </c>
      <c r="U50" s="13"/>
      <c r="V50" s="13"/>
      <c r="W50" s="13"/>
      <c r="X50" s="13"/>
      <c r="Y50" s="13"/>
      <c r="Z50" s="13"/>
      <c r="AA50" s="13"/>
    </row>
    <row r="51" spans="1:27" ht="30" x14ac:dyDescent="0.25">
      <c r="A51" s="11" t="s">
        <v>1902</v>
      </c>
      <c r="B51" s="12" t="s">
        <v>1700</v>
      </c>
      <c r="C51" s="11" t="s">
        <v>1897</v>
      </c>
      <c r="D51" s="11" t="s">
        <v>1898</v>
      </c>
      <c r="E51" s="11" t="s">
        <v>1903</v>
      </c>
      <c r="F51" s="11" t="s">
        <v>237</v>
      </c>
      <c r="G51" s="11" t="s">
        <v>67</v>
      </c>
      <c r="H51" s="11"/>
      <c r="I51" s="11" t="s">
        <v>1904</v>
      </c>
      <c r="J51" s="11" t="s">
        <v>1905</v>
      </c>
      <c r="K51" s="11"/>
      <c r="L51" s="11" t="s">
        <v>70</v>
      </c>
      <c r="M51" s="11" t="s">
        <v>71</v>
      </c>
      <c r="N51" s="11" t="s">
        <v>72</v>
      </c>
      <c r="O51" s="11" t="s">
        <v>19</v>
      </c>
      <c r="P51" s="13"/>
      <c r="Q51" s="13"/>
      <c r="R51" s="13"/>
      <c r="S51" s="13"/>
      <c r="T51" s="11" t="s">
        <v>19</v>
      </c>
      <c r="U51" s="13"/>
      <c r="V51" s="13"/>
      <c r="W51" s="13"/>
      <c r="X51" s="13"/>
      <c r="Y51" s="13"/>
      <c r="Z51" s="13"/>
      <c r="AA51" s="13"/>
    </row>
    <row r="52" spans="1:27" ht="45" x14ac:dyDescent="0.25">
      <c r="A52" s="11" t="s">
        <v>1906</v>
      </c>
      <c r="B52" s="12" t="s">
        <v>1700</v>
      </c>
      <c r="C52" s="11" t="s">
        <v>1773</v>
      </c>
      <c r="D52" s="11" t="s">
        <v>1789</v>
      </c>
      <c r="E52" s="11" t="s">
        <v>1907</v>
      </c>
      <c r="F52" s="11" t="s">
        <v>237</v>
      </c>
      <c r="G52" s="11" t="s">
        <v>75</v>
      </c>
      <c r="H52" s="11"/>
      <c r="I52" s="11" t="s">
        <v>1908</v>
      </c>
      <c r="J52" s="11" t="s">
        <v>1909</v>
      </c>
      <c r="K52" s="11"/>
      <c r="L52" s="11" t="s">
        <v>70</v>
      </c>
      <c r="M52" s="11" t="s">
        <v>71</v>
      </c>
      <c r="N52" s="11" t="s">
        <v>72</v>
      </c>
      <c r="O52" s="11" t="s">
        <v>19</v>
      </c>
      <c r="P52" s="13"/>
      <c r="Q52" s="13"/>
      <c r="R52" s="13"/>
      <c r="S52" s="13"/>
      <c r="T52" s="11" t="s">
        <v>19</v>
      </c>
      <c r="U52" s="13"/>
      <c r="V52" s="13"/>
      <c r="W52" s="13"/>
      <c r="X52" s="13"/>
      <c r="Y52" s="13"/>
      <c r="Z52" s="13"/>
      <c r="AA52" s="13"/>
    </row>
    <row r="53" spans="1:27" ht="45" x14ac:dyDescent="0.25">
      <c r="A53" s="11" t="s">
        <v>1910</v>
      </c>
      <c r="B53" s="12" t="s">
        <v>1700</v>
      </c>
      <c r="C53" s="11" t="s">
        <v>1773</v>
      </c>
      <c r="D53" s="11" t="s">
        <v>1789</v>
      </c>
      <c r="E53" s="11" t="s">
        <v>1911</v>
      </c>
      <c r="F53" s="11" t="s">
        <v>666</v>
      </c>
      <c r="G53" s="11" t="s">
        <v>94</v>
      </c>
      <c r="H53" s="11"/>
      <c r="I53" s="11" t="s">
        <v>1912</v>
      </c>
      <c r="J53" s="11" t="s">
        <v>1913</v>
      </c>
      <c r="K53" s="11"/>
      <c r="L53" s="11" t="s">
        <v>70</v>
      </c>
      <c r="M53" s="11" t="s">
        <v>71</v>
      </c>
      <c r="N53" s="11" t="s">
        <v>72</v>
      </c>
      <c r="O53" s="11" t="s">
        <v>19</v>
      </c>
      <c r="P53" s="13"/>
      <c r="Q53" s="13"/>
      <c r="R53" s="13"/>
      <c r="S53" s="13"/>
      <c r="T53" s="11" t="s">
        <v>19</v>
      </c>
      <c r="U53" s="13"/>
      <c r="V53" s="13"/>
      <c r="W53" s="13"/>
      <c r="X53" s="13"/>
      <c r="Y53" s="13"/>
      <c r="Z53" s="13"/>
      <c r="AA53" s="13"/>
    </row>
    <row r="54" spans="1:27" ht="45" x14ac:dyDescent="0.25">
      <c r="A54" s="11" t="s">
        <v>1914</v>
      </c>
      <c r="B54" s="12" t="s">
        <v>1700</v>
      </c>
      <c r="C54" s="11" t="s">
        <v>1741</v>
      </c>
      <c r="D54" s="11" t="s">
        <v>1799</v>
      </c>
      <c r="E54" s="11" t="s">
        <v>1915</v>
      </c>
      <c r="F54" s="11" t="s">
        <v>237</v>
      </c>
      <c r="G54" s="11" t="s">
        <v>67</v>
      </c>
      <c r="H54" s="11"/>
      <c r="I54" s="11" t="s">
        <v>1916</v>
      </c>
      <c r="J54" s="11" t="s">
        <v>1917</v>
      </c>
      <c r="K54" s="11"/>
      <c r="L54" s="11" t="s">
        <v>70</v>
      </c>
      <c r="M54" s="11" t="s">
        <v>71</v>
      </c>
      <c r="N54" s="11" t="s">
        <v>72</v>
      </c>
      <c r="O54" s="11" t="s">
        <v>19</v>
      </c>
      <c r="P54" s="13"/>
      <c r="Q54" s="13"/>
      <c r="R54" s="13"/>
      <c r="S54" s="13"/>
      <c r="T54" s="11" t="s">
        <v>19</v>
      </c>
      <c r="U54" s="13"/>
      <c r="V54" s="13"/>
      <c r="W54" s="13"/>
      <c r="X54" s="13"/>
      <c r="Y54" s="13"/>
      <c r="Z54" s="13"/>
      <c r="AA54" s="13"/>
    </row>
    <row r="55" spans="1:27" ht="45" x14ac:dyDescent="0.25">
      <c r="A55" s="11" t="s">
        <v>1918</v>
      </c>
      <c r="B55" s="12" t="s">
        <v>1700</v>
      </c>
      <c r="C55" s="11" t="s">
        <v>1798</v>
      </c>
      <c r="D55" s="11" t="s">
        <v>1799</v>
      </c>
      <c r="E55" s="11" t="s">
        <v>1919</v>
      </c>
      <c r="F55" s="11" t="s">
        <v>237</v>
      </c>
      <c r="G55" s="11" t="s">
        <v>67</v>
      </c>
      <c r="H55" s="11"/>
      <c r="I55" s="11" t="s">
        <v>1920</v>
      </c>
      <c r="J55" s="11" t="s">
        <v>1921</v>
      </c>
      <c r="K55" s="11"/>
      <c r="L55" s="11" t="s">
        <v>70</v>
      </c>
      <c r="M55" s="11" t="s">
        <v>71</v>
      </c>
      <c r="N55" s="11" t="s">
        <v>72</v>
      </c>
      <c r="O55" s="11" t="s">
        <v>19</v>
      </c>
      <c r="P55" s="13"/>
      <c r="Q55" s="13"/>
      <c r="R55" s="13"/>
      <c r="S55" s="13"/>
      <c r="T55" s="11" t="s">
        <v>19</v>
      </c>
      <c r="U55" s="13"/>
      <c r="V55" s="13"/>
      <c r="W55" s="13"/>
      <c r="X55" s="13"/>
      <c r="Y55" s="13"/>
      <c r="Z55" s="13"/>
      <c r="AA55" s="13"/>
    </row>
    <row r="56" spans="1:27" ht="30" x14ac:dyDescent="0.25">
      <c r="A56" s="11" t="s">
        <v>1922</v>
      </c>
      <c r="B56" s="12" t="s">
        <v>1700</v>
      </c>
      <c r="C56" s="11" t="s">
        <v>1923</v>
      </c>
      <c r="D56" s="11" t="s">
        <v>1924</v>
      </c>
      <c r="E56" s="11" t="s">
        <v>1925</v>
      </c>
      <c r="F56" s="11" t="s">
        <v>237</v>
      </c>
      <c r="G56" s="11" t="s">
        <v>67</v>
      </c>
      <c r="H56" s="11"/>
      <c r="I56" s="11" t="s">
        <v>1926</v>
      </c>
      <c r="J56" s="11" t="s">
        <v>1927</v>
      </c>
      <c r="K56" s="11"/>
      <c r="L56" s="11" t="s">
        <v>70</v>
      </c>
      <c r="M56" s="11" t="s">
        <v>71</v>
      </c>
      <c r="N56" s="11" t="s">
        <v>72</v>
      </c>
      <c r="O56" s="11" t="s">
        <v>19</v>
      </c>
      <c r="P56" s="13"/>
      <c r="Q56" s="13"/>
      <c r="R56" s="13"/>
      <c r="S56" s="13"/>
      <c r="T56" s="11" t="s">
        <v>19</v>
      </c>
      <c r="U56" s="13"/>
      <c r="V56" s="13"/>
      <c r="W56" s="13"/>
      <c r="X56" s="13"/>
      <c r="Y56" s="13"/>
      <c r="Z56" s="13"/>
      <c r="AA56" s="13"/>
    </row>
    <row r="57" spans="1:27" ht="30" x14ac:dyDescent="0.25">
      <c r="A57" s="11" t="s">
        <v>1928</v>
      </c>
      <c r="B57" s="12" t="s">
        <v>1740</v>
      </c>
      <c r="C57" s="11" t="s">
        <v>1741</v>
      </c>
      <c r="D57" s="11" t="s">
        <v>1929</v>
      </c>
      <c r="E57" s="11" t="s">
        <v>1930</v>
      </c>
      <c r="F57" s="11" t="s">
        <v>237</v>
      </c>
      <c r="G57" s="11" t="s">
        <v>75</v>
      </c>
      <c r="H57" s="11"/>
      <c r="I57" s="11" t="s">
        <v>1931</v>
      </c>
      <c r="J57" s="11" t="s">
        <v>1932</v>
      </c>
      <c r="K57" s="11"/>
      <c r="L57" s="11" t="s">
        <v>70</v>
      </c>
      <c r="M57" s="11" t="s">
        <v>71</v>
      </c>
      <c r="N57" s="11" t="s">
        <v>72</v>
      </c>
      <c r="O57" s="11" t="s">
        <v>19</v>
      </c>
      <c r="P57" s="13"/>
      <c r="Q57" s="13"/>
      <c r="R57" s="13"/>
      <c r="S57" s="13"/>
      <c r="T57" s="11" t="s">
        <v>19</v>
      </c>
      <c r="U57" s="13"/>
      <c r="V57" s="13"/>
      <c r="W57" s="13"/>
      <c r="X57" s="13"/>
      <c r="Y57" s="13"/>
      <c r="Z57" s="13"/>
      <c r="AA57" s="13"/>
    </row>
    <row r="58" spans="1:27" ht="30" x14ac:dyDescent="0.25">
      <c r="A58" s="11" t="s">
        <v>1933</v>
      </c>
      <c r="B58" s="12" t="s">
        <v>1740</v>
      </c>
      <c r="C58" s="11" t="s">
        <v>1741</v>
      </c>
      <c r="D58" s="11" t="s">
        <v>1929</v>
      </c>
      <c r="E58" s="11" t="s">
        <v>1934</v>
      </c>
      <c r="F58" s="11" t="s">
        <v>237</v>
      </c>
      <c r="G58" s="11" t="s">
        <v>94</v>
      </c>
      <c r="H58" s="11"/>
      <c r="I58" s="11" t="s">
        <v>1935</v>
      </c>
      <c r="J58" s="11" t="s">
        <v>1936</v>
      </c>
      <c r="K58" s="11"/>
      <c r="L58" s="11" t="s">
        <v>70</v>
      </c>
      <c r="M58" s="11" t="s">
        <v>71</v>
      </c>
      <c r="N58" s="11" t="s">
        <v>72</v>
      </c>
      <c r="O58" s="11" t="s">
        <v>19</v>
      </c>
      <c r="P58" s="13"/>
      <c r="Q58" s="13"/>
      <c r="R58" s="13"/>
      <c r="S58" s="13"/>
      <c r="T58" s="11" t="s">
        <v>19</v>
      </c>
      <c r="U58" s="13"/>
      <c r="V58" s="13"/>
      <c r="W58" s="13"/>
      <c r="X58" s="13"/>
      <c r="Y58" s="13"/>
      <c r="Z58" s="13"/>
      <c r="AA58" s="13"/>
    </row>
    <row r="59" spans="1:27" ht="45" x14ac:dyDescent="0.25">
      <c r="A59" s="11" t="s">
        <v>1937</v>
      </c>
      <c r="B59" s="12" t="s">
        <v>1700</v>
      </c>
      <c r="C59" s="11" t="s">
        <v>1804</v>
      </c>
      <c r="D59" s="11" t="s">
        <v>1938</v>
      </c>
      <c r="E59" s="11" t="s">
        <v>1939</v>
      </c>
      <c r="F59" s="11" t="s">
        <v>237</v>
      </c>
      <c r="G59" s="11" t="s">
        <v>67</v>
      </c>
      <c r="H59" s="11"/>
      <c r="I59" s="11" t="s">
        <v>1940</v>
      </c>
      <c r="J59" s="11" t="s">
        <v>1941</v>
      </c>
      <c r="K59" s="11"/>
      <c r="L59" s="11" t="s">
        <v>70</v>
      </c>
      <c r="M59" s="11" t="s">
        <v>71</v>
      </c>
      <c r="N59" s="11" t="s">
        <v>72</v>
      </c>
      <c r="O59" s="11" t="s">
        <v>19</v>
      </c>
      <c r="P59" s="13"/>
      <c r="Q59" s="13"/>
      <c r="R59" s="13"/>
      <c r="S59" s="13"/>
      <c r="T59" s="11" t="s">
        <v>19</v>
      </c>
      <c r="U59" s="13"/>
      <c r="V59" s="13"/>
      <c r="W59" s="13"/>
      <c r="X59" s="13"/>
      <c r="Y59" s="13"/>
      <c r="Z59" s="13"/>
      <c r="AA59" s="13"/>
    </row>
    <row r="60" spans="1:27" ht="45" x14ac:dyDescent="0.25">
      <c r="A60" s="11" t="s">
        <v>1942</v>
      </c>
      <c r="B60" s="12" t="s">
        <v>1700</v>
      </c>
      <c r="C60" s="11" t="s">
        <v>1804</v>
      </c>
      <c r="D60" s="11" t="s">
        <v>1943</v>
      </c>
      <c r="E60" s="11" t="s">
        <v>1944</v>
      </c>
      <c r="F60" s="11" t="s">
        <v>237</v>
      </c>
      <c r="G60" s="11" t="s">
        <v>75</v>
      </c>
      <c r="H60" s="11"/>
      <c r="I60" s="11" t="s">
        <v>1945</v>
      </c>
      <c r="J60" s="11" t="s">
        <v>1946</v>
      </c>
      <c r="K60" s="11"/>
      <c r="L60" s="11" t="s">
        <v>70</v>
      </c>
      <c r="M60" s="11" t="s">
        <v>71</v>
      </c>
      <c r="N60" s="11" t="s">
        <v>72</v>
      </c>
      <c r="O60" s="11" t="s">
        <v>19</v>
      </c>
      <c r="P60" s="13"/>
      <c r="Q60" s="13"/>
      <c r="R60" s="13"/>
      <c r="S60" s="13"/>
      <c r="T60" s="11" t="s">
        <v>19</v>
      </c>
      <c r="U60" s="13"/>
      <c r="V60" s="13"/>
      <c r="W60" s="13"/>
      <c r="X60" s="13"/>
      <c r="Y60" s="13"/>
      <c r="Z60" s="13"/>
      <c r="AA60" s="13"/>
    </row>
    <row r="61" spans="1:27" ht="45" x14ac:dyDescent="0.25">
      <c r="A61" s="11" t="s">
        <v>1947</v>
      </c>
      <c r="B61" s="12" t="s">
        <v>1700</v>
      </c>
      <c r="C61" s="11" t="s">
        <v>1804</v>
      </c>
      <c r="D61" s="11" t="s">
        <v>1948</v>
      </c>
      <c r="E61" s="11" t="s">
        <v>1949</v>
      </c>
      <c r="F61" s="11" t="s">
        <v>237</v>
      </c>
      <c r="G61" s="11" t="s">
        <v>75</v>
      </c>
      <c r="H61" s="11"/>
      <c r="I61" s="11" t="s">
        <v>1950</v>
      </c>
      <c r="J61" s="11" t="s">
        <v>1951</v>
      </c>
      <c r="K61" s="11"/>
      <c r="L61" s="11" t="s">
        <v>70</v>
      </c>
      <c r="M61" s="11" t="s">
        <v>71</v>
      </c>
      <c r="N61" s="11" t="s">
        <v>72</v>
      </c>
      <c r="O61" s="11" t="s">
        <v>19</v>
      </c>
      <c r="P61" s="13"/>
      <c r="Q61" s="13"/>
      <c r="R61" s="13"/>
      <c r="S61" s="13"/>
      <c r="T61" s="11" t="s">
        <v>19</v>
      </c>
      <c r="U61" s="13"/>
      <c r="V61" s="13"/>
      <c r="W61" s="13"/>
      <c r="X61" s="13"/>
      <c r="Y61" s="13"/>
      <c r="Z61" s="13"/>
      <c r="AA61" s="13"/>
    </row>
    <row r="62" spans="1:27" ht="45" x14ac:dyDescent="0.25">
      <c r="A62" s="11" t="s">
        <v>1952</v>
      </c>
      <c r="B62" s="12" t="s">
        <v>1700</v>
      </c>
      <c r="C62" s="11" t="s">
        <v>1804</v>
      </c>
      <c r="D62" s="11" t="s">
        <v>1953</v>
      </c>
      <c r="E62" s="11" t="s">
        <v>1954</v>
      </c>
      <c r="F62" s="11" t="s">
        <v>237</v>
      </c>
      <c r="G62" s="11" t="s">
        <v>94</v>
      </c>
      <c r="H62" s="11"/>
      <c r="I62" s="11" t="s">
        <v>1955</v>
      </c>
      <c r="J62" s="11" t="s">
        <v>1956</v>
      </c>
      <c r="K62" s="11"/>
      <c r="L62" s="11" t="s">
        <v>70</v>
      </c>
      <c r="M62" s="11" t="s">
        <v>71</v>
      </c>
      <c r="N62" s="11" t="s">
        <v>72</v>
      </c>
      <c r="O62" s="11" t="s">
        <v>19</v>
      </c>
      <c r="P62" s="13"/>
      <c r="Q62" s="13"/>
      <c r="R62" s="13"/>
      <c r="S62" s="13"/>
      <c r="T62" s="11" t="s">
        <v>19</v>
      </c>
      <c r="U62" s="13"/>
      <c r="V62" s="13"/>
      <c r="W62" s="13"/>
      <c r="X62" s="13"/>
      <c r="Y62" s="13"/>
      <c r="Z62" s="13"/>
      <c r="AA62" s="13"/>
    </row>
    <row r="63" spans="1:27" ht="60" x14ac:dyDescent="0.25">
      <c r="A63" s="11" t="s">
        <v>1957</v>
      </c>
      <c r="B63" s="12" t="s">
        <v>1752</v>
      </c>
      <c r="C63" s="11" t="s">
        <v>1958</v>
      </c>
      <c r="D63" s="11" t="s">
        <v>1959</v>
      </c>
      <c r="E63" s="11" t="s">
        <v>1960</v>
      </c>
      <c r="F63" s="11" t="s">
        <v>237</v>
      </c>
      <c r="G63" s="11" t="s">
        <v>67</v>
      </c>
      <c r="H63" s="11"/>
      <c r="I63" s="11" t="s">
        <v>1961</v>
      </c>
      <c r="J63" s="11" t="s">
        <v>1962</v>
      </c>
      <c r="K63" s="11"/>
      <c r="L63" s="11" t="s">
        <v>70</v>
      </c>
      <c r="M63" s="11" t="s">
        <v>71</v>
      </c>
      <c r="N63" s="11" t="s">
        <v>72</v>
      </c>
      <c r="O63" s="11" t="s">
        <v>19</v>
      </c>
      <c r="P63" s="13"/>
      <c r="Q63" s="13"/>
      <c r="R63" s="13"/>
      <c r="S63" s="13"/>
      <c r="T63" s="11" t="s">
        <v>19</v>
      </c>
      <c r="U63" s="13"/>
      <c r="V63" s="13"/>
      <c r="W63" s="13"/>
      <c r="X63" s="13"/>
      <c r="Y63" s="13"/>
      <c r="Z63" s="13"/>
      <c r="AA63" s="13"/>
    </row>
    <row r="64" spans="1:27" ht="30" x14ac:dyDescent="0.25">
      <c r="A64" s="11" t="s">
        <v>1963</v>
      </c>
      <c r="B64" s="12" t="s">
        <v>1752</v>
      </c>
      <c r="C64" s="11" t="s">
        <v>1958</v>
      </c>
      <c r="D64" s="11" t="s">
        <v>1964</v>
      </c>
      <c r="E64" s="11" t="s">
        <v>1965</v>
      </c>
      <c r="F64" s="11" t="s">
        <v>237</v>
      </c>
      <c r="G64" s="11" t="s">
        <v>75</v>
      </c>
      <c r="H64" s="11"/>
      <c r="I64" s="11" t="s">
        <v>1966</v>
      </c>
      <c r="J64" s="11" t="s">
        <v>1967</v>
      </c>
      <c r="K64" s="11"/>
      <c r="L64" s="11" t="s">
        <v>70</v>
      </c>
      <c r="M64" s="11" t="s">
        <v>71</v>
      </c>
      <c r="N64" s="11" t="s">
        <v>72</v>
      </c>
      <c r="O64" s="11" t="s">
        <v>19</v>
      </c>
      <c r="P64" s="13"/>
      <c r="Q64" s="13"/>
      <c r="R64" s="13"/>
      <c r="S64" s="13"/>
      <c r="T64" s="11" t="s">
        <v>19</v>
      </c>
      <c r="U64" s="13"/>
      <c r="V64" s="13"/>
      <c r="W64" s="13"/>
      <c r="X64" s="13"/>
      <c r="Y64" s="13"/>
      <c r="Z64" s="13"/>
      <c r="AA64" s="13"/>
    </row>
    <row r="65" spans="1:27" ht="30" x14ac:dyDescent="0.25">
      <c r="A65" s="11" t="s">
        <v>1968</v>
      </c>
      <c r="B65" s="12" t="s">
        <v>1752</v>
      </c>
      <c r="C65" s="11" t="s">
        <v>1958</v>
      </c>
      <c r="D65" s="11" t="s">
        <v>1969</v>
      </c>
      <c r="E65" s="11" t="s">
        <v>1970</v>
      </c>
      <c r="F65" s="11" t="s">
        <v>237</v>
      </c>
      <c r="G65" s="11" t="s">
        <v>75</v>
      </c>
      <c r="H65" s="11"/>
      <c r="I65" s="11" t="s">
        <v>1971</v>
      </c>
      <c r="J65" s="11" t="s">
        <v>1972</v>
      </c>
      <c r="K65" s="11"/>
      <c r="L65" s="11" t="s">
        <v>70</v>
      </c>
      <c r="M65" s="11" t="s">
        <v>71</v>
      </c>
      <c r="N65" s="11" t="s">
        <v>72</v>
      </c>
      <c r="O65" s="11" t="s">
        <v>19</v>
      </c>
      <c r="P65" s="13"/>
      <c r="Q65" s="13"/>
      <c r="R65" s="13"/>
      <c r="S65" s="13"/>
      <c r="T65" s="11" t="s">
        <v>19</v>
      </c>
      <c r="U65" s="13"/>
      <c r="V65" s="13"/>
      <c r="W65" s="13"/>
      <c r="X65" s="13"/>
      <c r="Y65" s="13"/>
      <c r="Z65" s="13"/>
      <c r="AA65" s="13"/>
    </row>
    <row r="66" spans="1:27" ht="60" x14ac:dyDescent="0.25">
      <c r="A66" s="11" t="s">
        <v>1973</v>
      </c>
      <c r="B66" s="12" t="s">
        <v>1752</v>
      </c>
      <c r="C66" s="11" t="s">
        <v>1958</v>
      </c>
      <c r="D66" s="11" t="s">
        <v>1974</v>
      </c>
      <c r="E66" s="11" t="s">
        <v>1975</v>
      </c>
      <c r="F66" s="11" t="s">
        <v>237</v>
      </c>
      <c r="G66" s="11" t="s">
        <v>67</v>
      </c>
      <c r="H66" s="11"/>
      <c r="I66" s="11" t="s">
        <v>1976</v>
      </c>
      <c r="J66" s="11" t="s">
        <v>1977</v>
      </c>
      <c r="K66" s="11"/>
      <c r="L66" s="11" t="s">
        <v>70</v>
      </c>
      <c r="M66" s="11" t="s">
        <v>71</v>
      </c>
      <c r="N66" s="11" t="s">
        <v>72</v>
      </c>
      <c r="O66" s="11" t="s">
        <v>19</v>
      </c>
      <c r="P66" s="13"/>
      <c r="Q66" s="13"/>
      <c r="R66" s="13"/>
      <c r="S66" s="13"/>
      <c r="T66" s="11" t="s">
        <v>19</v>
      </c>
      <c r="U66" s="13"/>
      <c r="V66" s="13"/>
      <c r="W66" s="13"/>
      <c r="X66" s="13"/>
      <c r="Y66" s="13"/>
      <c r="Z66" s="13"/>
      <c r="AA66" s="13"/>
    </row>
    <row r="67" spans="1:27" ht="60" x14ac:dyDescent="0.25">
      <c r="A67" s="11" t="s">
        <v>1978</v>
      </c>
      <c r="B67" s="12" t="s">
        <v>1752</v>
      </c>
      <c r="C67" s="11" t="s">
        <v>1958</v>
      </c>
      <c r="D67" s="11" t="s">
        <v>1979</v>
      </c>
      <c r="E67" s="11" t="s">
        <v>1980</v>
      </c>
      <c r="F67" s="11" t="s">
        <v>237</v>
      </c>
      <c r="G67" s="11" t="s">
        <v>67</v>
      </c>
      <c r="H67" s="11"/>
      <c r="I67" s="11" t="s">
        <v>1981</v>
      </c>
      <c r="J67" s="11" t="s">
        <v>1982</v>
      </c>
      <c r="K67" s="11"/>
      <c r="L67" s="11" t="s">
        <v>70</v>
      </c>
      <c r="M67" s="11" t="s">
        <v>71</v>
      </c>
      <c r="N67" s="11" t="s">
        <v>72</v>
      </c>
      <c r="O67" s="11" t="s">
        <v>19</v>
      </c>
      <c r="P67" s="13"/>
      <c r="Q67" s="13"/>
      <c r="R67" s="13"/>
      <c r="S67" s="13"/>
      <c r="T67" s="11" t="s">
        <v>19</v>
      </c>
      <c r="U67" s="13"/>
      <c r="V67" s="13"/>
      <c r="W67" s="13"/>
      <c r="X67" s="13"/>
      <c r="Y67" s="13"/>
      <c r="Z67" s="13"/>
      <c r="AA67" s="13"/>
    </row>
    <row r="68" spans="1:27" ht="60" x14ac:dyDescent="0.25">
      <c r="A68" s="11" t="s">
        <v>1983</v>
      </c>
      <c r="B68" s="12" t="s">
        <v>1752</v>
      </c>
      <c r="C68" s="11" t="s">
        <v>1958</v>
      </c>
      <c r="D68" s="11" t="s">
        <v>1984</v>
      </c>
      <c r="E68" s="11" t="s">
        <v>1985</v>
      </c>
      <c r="F68" s="11" t="s">
        <v>237</v>
      </c>
      <c r="G68" s="11" t="s">
        <v>75</v>
      </c>
      <c r="H68" s="11"/>
      <c r="I68" s="11" t="s">
        <v>1986</v>
      </c>
      <c r="J68" s="11" t="s">
        <v>1987</v>
      </c>
      <c r="K68" s="11"/>
      <c r="L68" s="11" t="s">
        <v>70</v>
      </c>
      <c r="M68" s="11" t="s">
        <v>71</v>
      </c>
      <c r="N68" s="11" t="s">
        <v>72</v>
      </c>
      <c r="O68" s="11" t="s">
        <v>19</v>
      </c>
      <c r="P68" s="13"/>
      <c r="Q68" s="13"/>
      <c r="R68" s="13"/>
      <c r="S68" s="13"/>
      <c r="T68" s="11" t="s">
        <v>19</v>
      </c>
      <c r="U68" s="13"/>
      <c r="V68" s="13"/>
      <c r="W68" s="13"/>
      <c r="X68" s="13"/>
      <c r="Y68" s="13"/>
      <c r="Z68" s="13"/>
      <c r="AA68" s="13"/>
    </row>
    <row r="69" spans="1:27" ht="30" x14ac:dyDescent="0.25">
      <c r="A69" s="11" t="s">
        <v>1988</v>
      </c>
      <c r="B69" s="12" t="s">
        <v>1752</v>
      </c>
      <c r="C69" s="11" t="s">
        <v>1958</v>
      </c>
      <c r="D69" s="11" t="s">
        <v>1989</v>
      </c>
      <c r="E69" s="11" t="s">
        <v>1990</v>
      </c>
      <c r="F69" s="11" t="s">
        <v>237</v>
      </c>
      <c r="G69" s="11" t="s">
        <v>75</v>
      </c>
      <c r="H69" s="11"/>
      <c r="I69" s="11" t="s">
        <v>1991</v>
      </c>
      <c r="J69" s="11" t="s">
        <v>1992</v>
      </c>
      <c r="K69" s="11"/>
      <c r="L69" s="11" t="s">
        <v>70</v>
      </c>
      <c r="M69" s="11" t="s">
        <v>71</v>
      </c>
      <c r="N69" s="11" t="s">
        <v>72</v>
      </c>
      <c r="O69" s="11" t="s">
        <v>19</v>
      </c>
      <c r="P69" s="13"/>
      <c r="Q69" s="13"/>
      <c r="R69" s="13"/>
      <c r="S69" s="13"/>
      <c r="T69" s="11" t="s">
        <v>19</v>
      </c>
      <c r="U69" s="13"/>
      <c r="V69" s="13"/>
      <c r="W69" s="13"/>
      <c r="X69" s="13"/>
      <c r="Y69" s="13"/>
      <c r="Z69" s="13"/>
      <c r="AA69" s="13"/>
    </row>
  </sheetData>
  <autoFilter ref="A1:AA1" xr:uid="{00000000-0009-0000-0000-000006000000}"/>
  <mergeCells count="3">
    <mergeCell ref="A20:AA20"/>
    <mergeCell ref="A33:AA33"/>
    <mergeCell ref="A2:AA2"/>
  </mergeCells>
  <dataValidations count="4">
    <dataValidation type="list" allowBlank="1" sqref="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9" xr:uid="{00000000-0002-0000-0600-000000000000}">
      <formula1>"Add new,Update,Delete"</formula1>
    </dataValidation>
    <dataValidation type="list" allowBlank="1"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9" xr:uid="{00000000-0002-0000-0600-000001000000}">
      <formula1>"By AI,By Manual"</formula1>
    </dataValidation>
    <dataValidation type="list" allowBlank="1" sqref="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9" xr:uid="{00000000-0002-0000-0600-000002000000}">
      <formula1>"Auto,Manual"</formula1>
    </dataValidation>
    <dataValidation type="list" allowBlank="1" sqref="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9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T201 T202 T203 T204 T205 T206 T207 T209" xr:uid="{00000000-0002-0000-0600-000003000000}">
      <formula1>"Untested,Pass,Fail,N/A"</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125"/>
  <sheetViews>
    <sheetView workbookViewId="0">
      <pane ySplit="1" topLeftCell="A2" activePane="bottomLeft" state="frozen"/>
      <selection pane="bottomLeft"/>
    </sheetView>
  </sheetViews>
  <sheetFormatPr defaultRowHeight="15" x14ac:dyDescent="0.25"/>
  <cols>
    <col min="1" max="1" width="16" customWidth="1"/>
    <col min="2" max="2" width="22" customWidth="1"/>
    <col min="3" max="3" width="12" customWidth="1"/>
    <col min="4" max="4" width="22" customWidth="1"/>
    <col min="5" max="5" width="35" customWidth="1"/>
    <col min="6" max="6" width="14" customWidth="1"/>
    <col min="7" max="7" width="10" customWidth="1"/>
    <col min="8" max="8" width="30" customWidth="1"/>
    <col min="9" max="9" width="45" customWidth="1"/>
    <col min="10" max="11" width="40" customWidth="1"/>
    <col min="12" max="12" width="12" customWidth="1"/>
    <col min="13" max="14" width="14" customWidth="1"/>
    <col min="15" max="15" width="10" customWidth="1"/>
    <col min="16" max="16" width="12" customWidth="1"/>
    <col min="17" max="17" width="10" customWidth="1"/>
    <col min="18" max="18" width="14" customWidth="1"/>
    <col min="19" max="19" width="35" customWidth="1"/>
    <col min="20" max="20" width="10" customWidth="1"/>
    <col min="21" max="21" width="12" customWidth="1"/>
    <col min="22" max="22" width="10" customWidth="1"/>
    <col min="23" max="23" width="14" customWidth="1"/>
    <col min="24" max="24" width="35" customWidth="1"/>
    <col min="25" max="25" width="30" customWidth="1"/>
    <col min="26" max="26" width="15" customWidth="1"/>
    <col min="27" max="27" width="35" customWidth="1"/>
  </cols>
  <sheetData>
    <row r="1" spans="1:27" ht="30" customHeight="1" x14ac:dyDescent="0.25">
      <c r="A1" s="8" t="s">
        <v>33</v>
      </c>
      <c r="B1" s="9" t="s">
        <v>34</v>
      </c>
      <c r="C1" s="8" t="s">
        <v>35</v>
      </c>
      <c r="D1" s="8" t="s">
        <v>36</v>
      </c>
      <c r="E1" s="8" t="s">
        <v>37</v>
      </c>
      <c r="F1" s="8" t="s">
        <v>38</v>
      </c>
      <c r="G1" s="8" t="s">
        <v>39</v>
      </c>
      <c r="H1" s="8" t="s">
        <v>40</v>
      </c>
      <c r="I1" s="8" t="s">
        <v>41</v>
      </c>
      <c r="J1" s="8" t="s">
        <v>42</v>
      </c>
      <c r="K1" s="8" t="s">
        <v>43</v>
      </c>
      <c r="L1" s="8" t="s">
        <v>44</v>
      </c>
      <c r="M1" s="8" t="s">
        <v>45</v>
      </c>
      <c r="N1" s="8" t="s">
        <v>46</v>
      </c>
      <c r="O1" s="8" t="s">
        <v>47</v>
      </c>
      <c r="P1" s="8" t="s">
        <v>48</v>
      </c>
      <c r="Q1" s="8" t="s">
        <v>49</v>
      </c>
      <c r="R1" s="8" t="s">
        <v>50</v>
      </c>
      <c r="S1" s="8" t="s">
        <v>51</v>
      </c>
      <c r="T1" s="8" t="s">
        <v>52</v>
      </c>
      <c r="U1" s="8" t="s">
        <v>53</v>
      </c>
      <c r="V1" s="8" t="s">
        <v>54</v>
      </c>
      <c r="W1" s="8" t="s">
        <v>55</v>
      </c>
      <c r="X1" s="8" t="s">
        <v>56</v>
      </c>
      <c r="Y1" s="8" t="s">
        <v>57</v>
      </c>
      <c r="Z1" s="8" t="s">
        <v>58</v>
      </c>
      <c r="AA1" s="10" t="s">
        <v>59</v>
      </c>
    </row>
    <row r="2" spans="1:27" ht="15.75" x14ac:dyDescent="0.25">
      <c r="A2" s="53" t="s">
        <v>60</v>
      </c>
      <c r="B2" s="54"/>
      <c r="C2" s="54"/>
      <c r="D2" s="54"/>
      <c r="E2" s="54"/>
      <c r="F2" s="54"/>
      <c r="G2" s="54"/>
      <c r="H2" s="54"/>
      <c r="I2" s="54"/>
      <c r="J2" s="54"/>
      <c r="K2" s="54"/>
      <c r="L2" s="54"/>
      <c r="M2" s="54"/>
      <c r="N2" s="54"/>
      <c r="O2" s="54"/>
      <c r="P2" s="54"/>
      <c r="Q2" s="54"/>
      <c r="R2" s="54"/>
      <c r="S2" s="54"/>
      <c r="T2" s="54"/>
      <c r="U2" s="54"/>
      <c r="V2" s="54"/>
      <c r="W2" s="54"/>
      <c r="X2" s="54"/>
      <c r="Y2" s="54"/>
      <c r="Z2" s="54"/>
      <c r="AA2" s="55"/>
    </row>
    <row r="3" spans="1:27" ht="60" x14ac:dyDescent="0.25">
      <c r="A3" s="11" t="s">
        <v>1993</v>
      </c>
      <c r="B3" s="12" t="s">
        <v>1994</v>
      </c>
      <c r="C3" s="11" t="s">
        <v>146</v>
      </c>
      <c r="D3" s="11" t="s">
        <v>147</v>
      </c>
      <c r="E3" s="11" t="s">
        <v>1995</v>
      </c>
      <c r="F3" s="11" t="s">
        <v>66</v>
      </c>
      <c r="G3" s="11" t="s">
        <v>75</v>
      </c>
      <c r="H3" s="11"/>
      <c r="I3" s="11" t="s">
        <v>1996</v>
      </c>
      <c r="J3" s="11" t="s">
        <v>150</v>
      </c>
      <c r="K3" s="11"/>
      <c r="L3" s="11" t="s">
        <v>70</v>
      </c>
      <c r="M3" s="11" t="s">
        <v>71</v>
      </c>
      <c r="N3" s="11" t="s">
        <v>72</v>
      </c>
      <c r="O3" s="11" t="s">
        <v>19</v>
      </c>
      <c r="P3" s="13"/>
      <c r="Q3" s="13"/>
      <c r="R3" s="13"/>
      <c r="S3" s="13"/>
      <c r="T3" s="11" t="s">
        <v>19</v>
      </c>
      <c r="U3" s="13"/>
      <c r="V3" s="13"/>
      <c r="W3" s="13"/>
      <c r="X3" s="13"/>
      <c r="Y3" s="13"/>
      <c r="Z3" s="13"/>
      <c r="AA3" s="13"/>
    </row>
    <row r="4" spans="1:27" ht="60" x14ac:dyDescent="0.25">
      <c r="A4" s="11" t="s">
        <v>1997</v>
      </c>
      <c r="B4" s="12" t="s">
        <v>1994</v>
      </c>
      <c r="C4" s="11" t="s">
        <v>146</v>
      </c>
      <c r="D4" s="11" t="s">
        <v>147</v>
      </c>
      <c r="E4" s="11" t="s">
        <v>1998</v>
      </c>
      <c r="F4" s="11" t="s">
        <v>66</v>
      </c>
      <c r="G4" s="11" t="s">
        <v>75</v>
      </c>
      <c r="H4" s="11"/>
      <c r="I4" s="11" t="s">
        <v>1999</v>
      </c>
      <c r="J4" s="11" t="s">
        <v>150</v>
      </c>
      <c r="K4" s="11"/>
      <c r="L4" s="11" t="s">
        <v>70</v>
      </c>
      <c r="M4" s="11" t="s">
        <v>71</v>
      </c>
      <c r="N4" s="11" t="s">
        <v>72</v>
      </c>
      <c r="O4" s="11" t="s">
        <v>19</v>
      </c>
      <c r="P4" s="13"/>
      <c r="Q4" s="13"/>
      <c r="R4" s="13"/>
      <c r="S4" s="13"/>
      <c r="T4" s="11" t="s">
        <v>19</v>
      </c>
      <c r="U4" s="13"/>
      <c r="V4" s="13"/>
      <c r="W4" s="13"/>
      <c r="X4" s="13"/>
      <c r="Y4" s="13"/>
      <c r="Z4" s="13"/>
      <c r="AA4" s="13"/>
    </row>
    <row r="5" spans="1:27" ht="60" x14ac:dyDescent="0.25">
      <c r="A5" s="11" t="s">
        <v>2000</v>
      </c>
      <c r="B5" s="12" t="s">
        <v>1994</v>
      </c>
      <c r="C5" s="11" t="s">
        <v>146</v>
      </c>
      <c r="D5" s="11" t="s">
        <v>147</v>
      </c>
      <c r="E5" s="11" t="s">
        <v>2001</v>
      </c>
      <c r="F5" s="11" t="s">
        <v>66</v>
      </c>
      <c r="G5" s="11" t="s">
        <v>75</v>
      </c>
      <c r="H5" s="11"/>
      <c r="I5" s="11" t="s">
        <v>2002</v>
      </c>
      <c r="J5" s="11" t="s">
        <v>150</v>
      </c>
      <c r="K5" s="11"/>
      <c r="L5" s="11" t="s">
        <v>70</v>
      </c>
      <c r="M5" s="11" t="s">
        <v>71</v>
      </c>
      <c r="N5" s="11" t="s">
        <v>72</v>
      </c>
      <c r="O5" s="11" t="s">
        <v>19</v>
      </c>
      <c r="P5" s="13"/>
      <c r="Q5" s="13"/>
      <c r="R5" s="13"/>
      <c r="S5" s="13"/>
      <c r="T5" s="11" t="s">
        <v>19</v>
      </c>
      <c r="U5" s="13"/>
      <c r="V5" s="13"/>
      <c r="W5" s="13"/>
      <c r="X5" s="13"/>
      <c r="Y5" s="13"/>
      <c r="Z5" s="13"/>
      <c r="AA5" s="13"/>
    </row>
    <row r="6" spans="1:27" ht="45" x14ac:dyDescent="0.25">
      <c r="A6" s="11" t="s">
        <v>2003</v>
      </c>
      <c r="B6" s="12" t="s">
        <v>1994</v>
      </c>
      <c r="C6" s="11" t="s">
        <v>146</v>
      </c>
      <c r="D6" s="11" t="s">
        <v>152</v>
      </c>
      <c r="E6" s="11" t="s">
        <v>2004</v>
      </c>
      <c r="F6" s="11" t="s">
        <v>66</v>
      </c>
      <c r="G6" s="11" t="s">
        <v>75</v>
      </c>
      <c r="H6" s="11"/>
      <c r="I6" s="11" t="s">
        <v>2005</v>
      </c>
      <c r="J6" s="11" t="s">
        <v>155</v>
      </c>
      <c r="K6" s="11"/>
      <c r="L6" s="11" t="s">
        <v>70</v>
      </c>
      <c r="M6" s="11" t="s">
        <v>71</v>
      </c>
      <c r="N6" s="11" t="s">
        <v>72</v>
      </c>
      <c r="O6" s="11" t="s">
        <v>19</v>
      </c>
      <c r="P6" s="13"/>
      <c r="Q6" s="13"/>
      <c r="R6" s="13"/>
      <c r="S6" s="13"/>
      <c r="T6" s="11" t="s">
        <v>19</v>
      </c>
      <c r="U6" s="13"/>
      <c r="V6" s="13"/>
      <c r="W6" s="13"/>
      <c r="X6" s="13"/>
      <c r="Y6" s="13"/>
      <c r="Z6" s="13"/>
      <c r="AA6" s="13"/>
    </row>
    <row r="7" spans="1:27" ht="45" x14ac:dyDescent="0.25">
      <c r="A7" s="11" t="s">
        <v>2006</v>
      </c>
      <c r="B7" s="12" t="s">
        <v>1994</v>
      </c>
      <c r="C7" s="11" t="s">
        <v>146</v>
      </c>
      <c r="D7" s="11" t="s">
        <v>152</v>
      </c>
      <c r="E7" s="11" t="s">
        <v>2007</v>
      </c>
      <c r="F7" s="11" t="s">
        <v>66</v>
      </c>
      <c r="G7" s="11" t="s">
        <v>75</v>
      </c>
      <c r="H7" s="11"/>
      <c r="I7" s="11" t="s">
        <v>2008</v>
      </c>
      <c r="J7" s="11" t="s">
        <v>155</v>
      </c>
      <c r="K7" s="11"/>
      <c r="L7" s="11" t="s">
        <v>70</v>
      </c>
      <c r="M7" s="11" t="s">
        <v>71</v>
      </c>
      <c r="N7" s="11" t="s">
        <v>72</v>
      </c>
      <c r="O7" s="11" t="s">
        <v>19</v>
      </c>
      <c r="P7" s="13"/>
      <c r="Q7" s="13"/>
      <c r="R7" s="13"/>
      <c r="S7" s="13"/>
      <c r="T7" s="11" t="s">
        <v>19</v>
      </c>
      <c r="U7" s="13"/>
      <c r="V7" s="13"/>
      <c r="W7" s="13"/>
      <c r="X7" s="13"/>
      <c r="Y7" s="13"/>
      <c r="Z7" s="13"/>
      <c r="AA7" s="13"/>
    </row>
    <row r="8" spans="1:27" ht="45" x14ac:dyDescent="0.25">
      <c r="A8" s="11" t="s">
        <v>2009</v>
      </c>
      <c r="B8" s="12" t="s">
        <v>1994</v>
      </c>
      <c r="C8" s="11" t="s">
        <v>146</v>
      </c>
      <c r="D8" s="11" t="s">
        <v>152</v>
      </c>
      <c r="E8" s="11" t="s">
        <v>2010</v>
      </c>
      <c r="F8" s="11" t="s">
        <v>66</v>
      </c>
      <c r="G8" s="11" t="s">
        <v>75</v>
      </c>
      <c r="H8" s="11"/>
      <c r="I8" s="11" t="s">
        <v>2011</v>
      </c>
      <c r="J8" s="11" t="s">
        <v>155</v>
      </c>
      <c r="K8" s="11"/>
      <c r="L8" s="11" t="s">
        <v>70</v>
      </c>
      <c r="M8" s="11" t="s">
        <v>71</v>
      </c>
      <c r="N8" s="11" t="s">
        <v>72</v>
      </c>
      <c r="O8" s="11" t="s">
        <v>19</v>
      </c>
      <c r="P8" s="13"/>
      <c r="Q8" s="13"/>
      <c r="R8" s="13"/>
      <c r="S8" s="13"/>
      <c r="T8" s="11" t="s">
        <v>19</v>
      </c>
      <c r="U8" s="13"/>
      <c r="V8" s="13"/>
      <c r="W8" s="13"/>
      <c r="X8" s="13"/>
      <c r="Y8" s="13"/>
      <c r="Z8" s="13"/>
      <c r="AA8" s="13"/>
    </row>
    <row r="9" spans="1:27" ht="75" x14ac:dyDescent="0.25">
      <c r="A9" s="11" t="s">
        <v>2012</v>
      </c>
      <c r="B9" s="12" t="s">
        <v>1994</v>
      </c>
      <c r="C9" s="11" t="s">
        <v>146</v>
      </c>
      <c r="D9" s="11" t="s">
        <v>157</v>
      </c>
      <c r="E9" s="11" t="s">
        <v>2013</v>
      </c>
      <c r="F9" s="11" t="s">
        <v>66</v>
      </c>
      <c r="G9" s="11" t="s">
        <v>67</v>
      </c>
      <c r="H9" s="11"/>
      <c r="I9" s="11" t="s">
        <v>2014</v>
      </c>
      <c r="J9" s="11" t="s">
        <v>535</v>
      </c>
      <c r="K9" s="11"/>
      <c r="L9" s="11" t="s">
        <v>70</v>
      </c>
      <c r="M9" s="11" t="s">
        <v>71</v>
      </c>
      <c r="N9" s="11" t="s">
        <v>72</v>
      </c>
      <c r="O9" s="11" t="s">
        <v>19</v>
      </c>
      <c r="P9" s="13"/>
      <c r="Q9" s="13"/>
      <c r="R9" s="13"/>
      <c r="S9" s="13"/>
      <c r="T9" s="11" t="s">
        <v>19</v>
      </c>
      <c r="U9" s="13"/>
      <c r="V9" s="13"/>
      <c r="W9" s="13"/>
      <c r="X9" s="13"/>
      <c r="Y9" s="13"/>
      <c r="Z9" s="13"/>
      <c r="AA9" s="13"/>
    </row>
    <row r="10" spans="1:27" ht="75" x14ac:dyDescent="0.25">
      <c r="A10" s="11" t="s">
        <v>2015</v>
      </c>
      <c r="B10" s="12" t="s">
        <v>1994</v>
      </c>
      <c r="C10" s="11" t="s">
        <v>146</v>
      </c>
      <c r="D10" s="11" t="s">
        <v>157</v>
      </c>
      <c r="E10" s="11" t="s">
        <v>2016</v>
      </c>
      <c r="F10" s="11" t="s">
        <v>66</v>
      </c>
      <c r="G10" s="11" t="s">
        <v>67</v>
      </c>
      <c r="H10" s="11"/>
      <c r="I10" s="11" t="s">
        <v>2017</v>
      </c>
      <c r="J10" s="11" t="s">
        <v>535</v>
      </c>
      <c r="K10" s="11"/>
      <c r="L10" s="11" t="s">
        <v>70</v>
      </c>
      <c r="M10" s="11" t="s">
        <v>71</v>
      </c>
      <c r="N10" s="11" t="s">
        <v>72</v>
      </c>
      <c r="O10" s="11" t="s">
        <v>19</v>
      </c>
      <c r="P10" s="13"/>
      <c r="Q10" s="13"/>
      <c r="R10" s="13"/>
      <c r="S10" s="13"/>
      <c r="T10" s="11" t="s">
        <v>19</v>
      </c>
      <c r="U10" s="13"/>
      <c r="V10" s="13"/>
      <c r="W10" s="13"/>
      <c r="X10" s="13"/>
      <c r="Y10" s="13"/>
      <c r="Z10" s="13"/>
      <c r="AA10" s="13"/>
    </row>
    <row r="11" spans="1:27" ht="75" x14ac:dyDescent="0.25">
      <c r="A11" s="11" t="s">
        <v>2018</v>
      </c>
      <c r="B11" s="12" t="s">
        <v>1994</v>
      </c>
      <c r="C11" s="11" t="s">
        <v>146</v>
      </c>
      <c r="D11" s="11" t="s">
        <v>157</v>
      </c>
      <c r="E11" s="11" t="s">
        <v>2019</v>
      </c>
      <c r="F11" s="11" t="s">
        <v>66</v>
      </c>
      <c r="G11" s="11" t="s">
        <v>67</v>
      </c>
      <c r="H11" s="11"/>
      <c r="I11" s="11" t="s">
        <v>2020</v>
      </c>
      <c r="J11" s="11" t="s">
        <v>535</v>
      </c>
      <c r="K11" s="11"/>
      <c r="L11" s="11" t="s">
        <v>70</v>
      </c>
      <c r="M11" s="11" t="s">
        <v>71</v>
      </c>
      <c r="N11" s="11" t="s">
        <v>72</v>
      </c>
      <c r="O11" s="11" t="s">
        <v>19</v>
      </c>
      <c r="P11" s="13"/>
      <c r="Q11" s="13"/>
      <c r="R11" s="13"/>
      <c r="S11" s="13"/>
      <c r="T11" s="11" t="s">
        <v>19</v>
      </c>
      <c r="U11" s="13"/>
      <c r="V11" s="13"/>
      <c r="W11" s="13"/>
      <c r="X11" s="13"/>
      <c r="Y11" s="13"/>
      <c r="Z11" s="13"/>
      <c r="AA11" s="13"/>
    </row>
    <row r="12" spans="1:27" ht="90" x14ac:dyDescent="0.25">
      <c r="A12" s="11" t="s">
        <v>2021</v>
      </c>
      <c r="B12" s="12" t="s">
        <v>1994</v>
      </c>
      <c r="C12" s="11" t="s">
        <v>146</v>
      </c>
      <c r="D12" s="11" t="s">
        <v>162</v>
      </c>
      <c r="E12" s="11" t="s">
        <v>2022</v>
      </c>
      <c r="F12" s="11" t="s">
        <v>66</v>
      </c>
      <c r="G12" s="11" t="s">
        <v>67</v>
      </c>
      <c r="H12" s="11"/>
      <c r="I12" s="11" t="s">
        <v>164</v>
      </c>
      <c r="J12" s="11" t="s">
        <v>545</v>
      </c>
      <c r="K12" s="11"/>
      <c r="L12" s="11" t="s">
        <v>70</v>
      </c>
      <c r="M12" s="11" t="s">
        <v>71</v>
      </c>
      <c r="N12" s="11" t="s">
        <v>72</v>
      </c>
      <c r="O12" s="11" t="s">
        <v>19</v>
      </c>
      <c r="P12" s="13"/>
      <c r="Q12" s="13"/>
      <c r="R12" s="13"/>
      <c r="S12" s="13"/>
      <c r="T12" s="11" t="s">
        <v>19</v>
      </c>
      <c r="U12" s="13"/>
      <c r="V12" s="13"/>
      <c r="W12" s="13"/>
      <c r="X12" s="13"/>
      <c r="Y12" s="13"/>
      <c r="Z12" s="13"/>
      <c r="AA12" s="13"/>
    </row>
    <row r="13" spans="1:27" ht="90" x14ac:dyDescent="0.25">
      <c r="A13" s="11" t="s">
        <v>2023</v>
      </c>
      <c r="B13" s="12" t="s">
        <v>1994</v>
      </c>
      <c r="C13" s="11" t="s">
        <v>146</v>
      </c>
      <c r="D13" s="11" t="s">
        <v>162</v>
      </c>
      <c r="E13" s="11" t="s">
        <v>2024</v>
      </c>
      <c r="F13" s="11" t="s">
        <v>66</v>
      </c>
      <c r="G13" s="11" t="s">
        <v>67</v>
      </c>
      <c r="H13" s="11"/>
      <c r="I13" s="11" t="s">
        <v>164</v>
      </c>
      <c r="J13" s="11" t="s">
        <v>545</v>
      </c>
      <c r="K13" s="11"/>
      <c r="L13" s="11" t="s">
        <v>70</v>
      </c>
      <c r="M13" s="11" t="s">
        <v>71</v>
      </c>
      <c r="N13" s="11" t="s">
        <v>72</v>
      </c>
      <c r="O13" s="11" t="s">
        <v>19</v>
      </c>
      <c r="P13" s="13"/>
      <c r="Q13" s="13"/>
      <c r="R13" s="13"/>
      <c r="S13" s="13"/>
      <c r="T13" s="11" t="s">
        <v>19</v>
      </c>
      <c r="U13" s="13"/>
      <c r="V13" s="13"/>
      <c r="W13" s="13"/>
      <c r="X13" s="13"/>
      <c r="Y13" s="13"/>
      <c r="Z13" s="13"/>
      <c r="AA13" s="13"/>
    </row>
    <row r="14" spans="1:27" ht="90" x14ac:dyDescent="0.25">
      <c r="A14" s="11" t="s">
        <v>2025</v>
      </c>
      <c r="B14" s="12" t="s">
        <v>1994</v>
      </c>
      <c r="C14" s="11" t="s">
        <v>146</v>
      </c>
      <c r="D14" s="11" t="s">
        <v>162</v>
      </c>
      <c r="E14" s="11" t="s">
        <v>2026</v>
      </c>
      <c r="F14" s="11" t="s">
        <v>66</v>
      </c>
      <c r="G14" s="11" t="s">
        <v>67</v>
      </c>
      <c r="H14" s="11"/>
      <c r="I14" s="11" t="s">
        <v>164</v>
      </c>
      <c r="J14" s="11" t="s">
        <v>545</v>
      </c>
      <c r="K14" s="11"/>
      <c r="L14" s="11" t="s">
        <v>70</v>
      </c>
      <c r="M14" s="11" t="s">
        <v>71</v>
      </c>
      <c r="N14" s="11" t="s">
        <v>72</v>
      </c>
      <c r="O14" s="11" t="s">
        <v>19</v>
      </c>
      <c r="P14" s="13"/>
      <c r="Q14" s="13"/>
      <c r="R14" s="13"/>
      <c r="S14" s="13"/>
      <c r="T14" s="11" t="s">
        <v>19</v>
      </c>
      <c r="U14" s="13"/>
      <c r="V14" s="13"/>
      <c r="W14" s="13"/>
      <c r="X14" s="13"/>
      <c r="Y14" s="13"/>
      <c r="Z14" s="13"/>
      <c r="AA14" s="13"/>
    </row>
    <row r="15" spans="1:27" ht="75" x14ac:dyDescent="0.25">
      <c r="A15" s="11" t="s">
        <v>2027</v>
      </c>
      <c r="B15" s="12" t="s">
        <v>1994</v>
      </c>
      <c r="C15" s="11" t="s">
        <v>146</v>
      </c>
      <c r="D15" s="11" t="s">
        <v>167</v>
      </c>
      <c r="E15" s="11" t="s">
        <v>2028</v>
      </c>
      <c r="F15" s="11" t="s">
        <v>66</v>
      </c>
      <c r="G15" s="11" t="s">
        <v>75</v>
      </c>
      <c r="H15" s="11"/>
      <c r="I15" s="11" t="s">
        <v>2029</v>
      </c>
      <c r="J15" s="11" t="s">
        <v>555</v>
      </c>
      <c r="K15" s="11"/>
      <c r="L15" s="11" t="s">
        <v>70</v>
      </c>
      <c r="M15" s="11" t="s">
        <v>71</v>
      </c>
      <c r="N15" s="11" t="s">
        <v>72</v>
      </c>
      <c r="O15" s="11" t="s">
        <v>19</v>
      </c>
      <c r="P15" s="13"/>
      <c r="Q15" s="13"/>
      <c r="R15" s="13"/>
      <c r="S15" s="13"/>
      <c r="T15" s="11" t="s">
        <v>19</v>
      </c>
      <c r="U15" s="13"/>
      <c r="V15" s="13"/>
      <c r="W15" s="13"/>
      <c r="X15" s="13"/>
      <c r="Y15" s="13"/>
      <c r="Z15" s="13"/>
      <c r="AA15" s="13"/>
    </row>
    <row r="16" spans="1:27" ht="75" x14ac:dyDescent="0.25">
      <c r="A16" s="11" t="s">
        <v>2030</v>
      </c>
      <c r="B16" s="12" t="s">
        <v>1994</v>
      </c>
      <c r="C16" s="11" t="s">
        <v>146</v>
      </c>
      <c r="D16" s="11" t="s">
        <v>167</v>
      </c>
      <c r="E16" s="11" t="s">
        <v>2031</v>
      </c>
      <c r="F16" s="11" t="s">
        <v>66</v>
      </c>
      <c r="G16" s="11" t="s">
        <v>75</v>
      </c>
      <c r="H16" s="11"/>
      <c r="I16" s="11" t="s">
        <v>2032</v>
      </c>
      <c r="J16" s="11" t="s">
        <v>555</v>
      </c>
      <c r="K16" s="11"/>
      <c r="L16" s="11" t="s">
        <v>70</v>
      </c>
      <c r="M16" s="11" t="s">
        <v>71</v>
      </c>
      <c r="N16" s="11" t="s">
        <v>72</v>
      </c>
      <c r="O16" s="11" t="s">
        <v>19</v>
      </c>
      <c r="P16" s="13"/>
      <c r="Q16" s="13"/>
      <c r="R16" s="13"/>
      <c r="S16" s="13"/>
      <c r="T16" s="11" t="s">
        <v>19</v>
      </c>
      <c r="U16" s="13"/>
      <c r="V16" s="13"/>
      <c r="W16" s="13"/>
      <c r="X16" s="13"/>
      <c r="Y16" s="13"/>
      <c r="Z16" s="13"/>
      <c r="AA16" s="13"/>
    </row>
    <row r="17" spans="1:27" ht="75" x14ac:dyDescent="0.25">
      <c r="A17" s="11" t="s">
        <v>2033</v>
      </c>
      <c r="B17" s="12" t="s">
        <v>1994</v>
      </c>
      <c r="C17" s="11" t="s">
        <v>146</v>
      </c>
      <c r="D17" s="11" t="s">
        <v>167</v>
      </c>
      <c r="E17" s="11" t="s">
        <v>2034</v>
      </c>
      <c r="F17" s="11" t="s">
        <v>66</v>
      </c>
      <c r="G17" s="11" t="s">
        <v>75</v>
      </c>
      <c r="H17" s="11"/>
      <c r="I17" s="11" t="s">
        <v>2035</v>
      </c>
      <c r="J17" s="11" t="s">
        <v>555</v>
      </c>
      <c r="K17" s="11"/>
      <c r="L17" s="11" t="s">
        <v>70</v>
      </c>
      <c r="M17" s="11" t="s">
        <v>71</v>
      </c>
      <c r="N17" s="11" t="s">
        <v>72</v>
      </c>
      <c r="O17" s="11" t="s">
        <v>19</v>
      </c>
      <c r="P17" s="13"/>
      <c r="Q17" s="13"/>
      <c r="R17" s="13"/>
      <c r="S17" s="13"/>
      <c r="T17" s="11" t="s">
        <v>19</v>
      </c>
      <c r="U17" s="13"/>
      <c r="V17" s="13"/>
      <c r="W17" s="13"/>
      <c r="X17" s="13"/>
      <c r="Y17" s="13"/>
      <c r="Z17" s="13"/>
      <c r="AA17" s="13"/>
    </row>
    <row r="18" spans="1:27" ht="75" x14ac:dyDescent="0.25">
      <c r="A18" s="11" t="s">
        <v>2036</v>
      </c>
      <c r="B18" s="12" t="s">
        <v>1994</v>
      </c>
      <c r="C18" s="11" t="s">
        <v>146</v>
      </c>
      <c r="D18" s="11" t="s">
        <v>172</v>
      </c>
      <c r="E18" s="11" t="s">
        <v>2037</v>
      </c>
      <c r="F18" s="11" t="s">
        <v>66</v>
      </c>
      <c r="G18" s="11" t="s">
        <v>67</v>
      </c>
      <c r="H18" s="11"/>
      <c r="I18" s="11" t="s">
        <v>2038</v>
      </c>
      <c r="J18" s="11" t="s">
        <v>566</v>
      </c>
      <c r="K18" s="11"/>
      <c r="L18" s="11" t="s">
        <v>70</v>
      </c>
      <c r="M18" s="11" t="s">
        <v>71</v>
      </c>
      <c r="N18" s="11" t="s">
        <v>72</v>
      </c>
      <c r="O18" s="11" t="s">
        <v>19</v>
      </c>
      <c r="P18" s="13"/>
      <c r="Q18" s="13"/>
      <c r="R18" s="13"/>
      <c r="S18" s="13"/>
      <c r="T18" s="11" t="s">
        <v>19</v>
      </c>
      <c r="U18" s="13"/>
      <c r="V18" s="13"/>
      <c r="W18" s="13"/>
      <c r="X18" s="13"/>
      <c r="Y18" s="13"/>
      <c r="Z18" s="13"/>
      <c r="AA18" s="13"/>
    </row>
    <row r="19" spans="1:27" ht="75" x14ac:dyDescent="0.25">
      <c r="A19" s="11" t="s">
        <v>2039</v>
      </c>
      <c r="B19" s="12" t="s">
        <v>1994</v>
      </c>
      <c r="C19" s="11" t="s">
        <v>146</v>
      </c>
      <c r="D19" s="11" t="s">
        <v>172</v>
      </c>
      <c r="E19" s="11" t="s">
        <v>2040</v>
      </c>
      <c r="F19" s="11" t="s">
        <v>66</v>
      </c>
      <c r="G19" s="11" t="s">
        <v>67</v>
      </c>
      <c r="H19" s="11"/>
      <c r="I19" s="11" t="s">
        <v>2041</v>
      </c>
      <c r="J19" s="11" t="s">
        <v>566</v>
      </c>
      <c r="K19" s="11"/>
      <c r="L19" s="11" t="s">
        <v>70</v>
      </c>
      <c r="M19" s="11" t="s">
        <v>71</v>
      </c>
      <c r="N19" s="11" t="s">
        <v>72</v>
      </c>
      <c r="O19" s="11" t="s">
        <v>19</v>
      </c>
      <c r="P19" s="13"/>
      <c r="Q19" s="13"/>
      <c r="R19" s="13"/>
      <c r="S19" s="13"/>
      <c r="T19" s="11" t="s">
        <v>19</v>
      </c>
      <c r="U19" s="13"/>
      <c r="V19" s="13"/>
      <c r="W19" s="13"/>
      <c r="X19" s="13"/>
      <c r="Y19" s="13"/>
      <c r="Z19" s="13"/>
      <c r="AA19" s="13"/>
    </row>
    <row r="20" spans="1:27" ht="75" x14ac:dyDescent="0.25">
      <c r="A20" s="11" t="s">
        <v>2042</v>
      </c>
      <c r="B20" s="12" t="s">
        <v>1994</v>
      </c>
      <c r="C20" s="11" t="s">
        <v>146</v>
      </c>
      <c r="D20" s="11" t="s">
        <v>172</v>
      </c>
      <c r="E20" s="11" t="s">
        <v>2043</v>
      </c>
      <c r="F20" s="11" t="s">
        <v>66</v>
      </c>
      <c r="G20" s="11" t="s">
        <v>67</v>
      </c>
      <c r="H20" s="11"/>
      <c r="I20" s="11" t="s">
        <v>2044</v>
      </c>
      <c r="J20" s="11" t="s">
        <v>566</v>
      </c>
      <c r="K20" s="11"/>
      <c r="L20" s="11" t="s">
        <v>70</v>
      </c>
      <c r="M20" s="11" t="s">
        <v>71</v>
      </c>
      <c r="N20" s="11" t="s">
        <v>72</v>
      </c>
      <c r="O20" s="11" t="s">
        <v>19</v>
      </c>
      <c r="P20" s="13"/>
      <c r="Q20" s="13"/>
      <c r="R20" s="13"/>
      <c r="S20" s="13"/>
      <c r="T20" s="11" t="s">
        <v>19</v>
      </c>
      <c r="U20" s="13"/>
      <c r="V20" s="13"/>
      <c r="W20" s="13"/>
      <c r="X20" s="13"/>
      <c r="Y20" s="13"/>
      <c r="Z20" s="13"/>
      <c r="AA20" s="13"/>
    </row>
    <row r="21" spans="1:27" ht="60" x14ac:dyDescent="0.25">
      <c r="A21" s="11" t="s">
        <v>2045</v>
      </c>
      <c r="B21" s="12" t="s">
        <v>1994</v>
      </c>
      <c r="C21" s="11" t="s">
        <v>2046</v>
      </c>
      <c r="D21" s="11" t="s">
        <v>2047</v>
      </c>
      <c r="E21" s="11" t="s">
        <v>2048</v>
      </c>
      <c r="F21" s="11" t="s">
        <v>66</v>
      </c>
      <c r="G21" s="11" t="s">
        <v>75</v>
      </c>
      <c r="H21" s="11"/>
      <c r="I21" s="11" t="s">
        <v>2049</v>
      </c>
      <c r="J21" s="11" t="s">
        <v>2050</v>
      </c>
      <c r="K21" s="11"/>
      <c r="L21" s="11" t="s">
        <v>70</v>
      </c>
      <c r="M21" s="11" t="s">
        <v>71</v>
      </c>
      <c r="N21" s="11" t="s">
        <v>72</v>
      </c>
      <c r="O21" s="11" t="s">
        <v>19</v>
      </c>
      <c r="P21" s="13"/>
      <c r="Q21" s="13"/>
      <c r="R21" s="13"/>
      <c r="S21" s="13"/>
      <c r="T21" s="11" t="s">
        <v>19</v>
      </c>
      <c r="U21" s="13"/>
      <c r="V21" s="13"/>
      <c r="W21" s="13"/>
      <c r="X21" s="13"/>
      <c r="Y21" s="13"/>
      <c r="Z21" s="13"/>
      <c r="AA21" s="13"/>
    </row>
    <row r="22" spans="1:27" ht="60" x14ac:dyDescent="0.25">
      <c r="A22" s="11" t="s">
        <v>2051</v>
      </c>
      <c r="B22" s="12" t="s">
        <v>1994</v>
      </c>
      <c r="C22" s="11" t="s">
        <v>2046</v>
      </c>
      <c r="D22" s="11" t="s">
        <v>2047</v>
      </c>
      <c r="E22" s="11" t="s">
        <v>2052</v>
      </c>
      <c r="F22" s="11" t="s">
        <v>66</v>
      </c>
      <c r="G22" s="11" t="s">
        <v>75</v>
      </c>
      <c r="H22" s="11"/>
      <c r="I22" s="11" t="s">
        <v>2053</v>
      </c>
      <c r="J22" s="11" t="s">
        <v>2054</v>
      </c>
      <c r="K22" s="11"/>
      <c r="L22" s="11" t="s">
        <v>70</v>
      </c>
      <c r="M22" s="11" t="s">
        <v>71</v>
      </c>
      <c r="N22" s="11" t="s">
        <v>72</v>
      </c>
      <c r="O22" s="11" t="s">
        <v>19</v>
      </c>
      <c r="P22" s="13"/>
      <c r="Q22" s="13"/>
      <c r="R22" s="13"/>
      <c r="S22" s="13"/>
      <c r="T22" s="11" t="s">
        <v>19</v>
      </c>
      <c r="U22" s="13"/>
      <c r="V22" s="13"/>
      <c r="W22" s="13"/>
      <c r="X22" s="13"/>
      <c r="Y22" s="13"/>
      <c r="Z22" s="13"/>
      <c r="AA22" s="13"/>
    </row>
    <row r="23" spans="1:27" ht="90" x14ac:dyDescent="0.25">
      <c r="A23" s="11" t="s">
        <v>2055</v>
      </c>
      <c r="B23" s="12" t="s">
        <v>1994</v>
      </c>
      <c r="C23" s="11" t="s">
        <v>2046</v>
      </c>
      <c r="D23" s="11" t="s">
        <v>2047</v>
      </c>
      <c r="E23" s="11" t="s">
        <v>2056</v>
      </c>
      <c r="F23" s="11" t="s">
        <v>66</v>
      </c>
      <c r="G23" s="11" t="s">
        <v>75</v>
      </c>
      <c r="H23" s="11"/>
      <c r="I23" s="11" t="s">
        <v>2057</v>
      </c>
      <c r="J23" s="11" t="s">
        <v>2058</v>
      </c>
      <c r="K23" s="11"/>
      <c r="L23" s="11" t="s">
        <v>70</v>
      </c>
      <c r="M23" s="11" t="s">
        <v>71</v>
      </c>
      <c r="N23" s="11" t="s">
        <v>72</v>
      </c>
      <c r="O23" s="11" t="s">
        <v>19</v>
      </c>
      <c r="P23" s="13"/>
      <c r="Q23" s="13"/>
      <c r="R23" s="13"/>
      <c r="S23" s="13"/>
      <c r="T23" s="11" t="s">
        <v>19</v>
      </c>
      <c r="U23" s="13"/>
      <c r="V23" s="13"/>
      <c r="W23" s="13"/>
      <c r="X23" s="13"/>
      <c r="Y23" s="13"/>
      <c r="Z23" s="13"/>
      <c r="AA23" s="13"/>
    </row>
    <row r="24" spans="1:27" ht="60" x14ac:dyDescent="0.25">
      <c r="A24" s="11" t="s">
        <v>2059</v>
      </c>
      <c r="B24" s="12" t="s">
        <v>1994</v>
      </c>
      <c r="C24" s="11" t="s">
        <v>2046</v>
      </c>
      <c r="D24" s="11" t="s">
        <v>2047</v>
      </c>
      <c r="E24" s="11" t="s">
        <v>2060</v>
      </c>
      <c r="F24" s="11" t="s">
        <v>66</v>
      </c>
      <c r="G24" s="11" t="s">
        <v>75</v>
      </c>
      <c r="H24" s="11"/>
      <c r="I24" s="11" t="s">
        <v>2061</v>
      </c>
      <c r="J24" s="11" t="s">
        <v>2062</v>
      </c>
      <c r="K24" s="11"/>
      <c r="L24" s="11" t="s">
        <v>70</v>
      </c>
      <c r="M24" s="11" t="s">
        <v>71</v>
      </c>
      <c r="N24" s="11" t="s">
        <v>72</v>
      </c>
      <c r="O24" s="11" t="s">
        <v>19</v>
      </c>
      <c r="P24" s="13"/>
      <c r="Q24" s="13"/>
      <c r="R24" s="13"/>
      <c r="S24" s="13"/>
      <c r="T24" s="11" t="s">
        <v>19</v>
      </c>
      <c r="U24" s="13"/>
      <c r="V24" s="13"/>
      <c r="W24" s="13"/>
      <c r="X24" s="13"/>
      <c r="Y24" s="13"/>
      <c r="Z24" s="13"/>
      <c r="AA24" s="13"/>
    </row>
    <row r="25" spans="1:27" ht="60" x14ac:dyDescent="0.25">
      <c r="A25" s="11" t="s">
        <v>2063</v>
      </c>
      <c r="B25" s="12" t="s">
        <v>1994</v>
      </c>
      <c r="C25" s="11" t="s">
        <v>2046</v>
      </c>
      <c r="D25" s="11" t="s">
        <v>2047</v>
      </c>
      <c r="E25" s="11" t="s">
        <v>2064</v>
      </c>
      <c r="F25" s="11" t="s">
        <v>66</v>
      </c>
      <c r="G25" s="11" t="s">
        <v>75</v>
      </c>
      <c r="H25" s="11"/>
      <c r="I25" s="11" t="s">
        <v>2065</v>
      </c>
      <c r="J25" s="11" t="s">
        <v>2066</v>
      </c>
      <c r="K25" s="11"/>
      <c r="L25" s="11" t="s">
        <v>70</v>
      </c>
      <c r="M25" s="11" t="s">
        <v>71</v>
      </c>
      <c r="N25" s="11" t="s">
        <v>72</v>
      </c>
      <c r="O25" s="11" t="s">
        <v>19</v>
      </c>
      <c r="P25" s="13"/>
      <c r="Q25" s="13"/>
      <c r="R25" s="13"/>
      <c r="S25" s="13"/>
      <c r="T25" s="11" t="s">
        <v>19</v>
      </c>
      <c r="U25" s="13"/>
      <c r="V25" s="13"/>
      <c r="W25" s="13"/>
      <c r="X25" s="13"/>
      <c r="Y25" s="13"/>
      <c r="Z25" s="13"/>
      <c r="AA25" s="13"/>
    </row>
    <row r="26" spans="1:27" ht="60" x14ac:dyDescent="0.25">
      <c r="A26" s="11" t="s">
        <v>2067</v>
      </c>
      <c r="B26" s="12" t="s">
        <v>1994</v>
      </c>
      <c r="C26" s="11" t="s">
        <v>2046</v>
      </c>
      <c r="D26" s="11" t="s">
        <v>2047</v>
      </c>
      <c r="E26" s="11" t="s">
        <v>2068</v>
      </c>
      <c r="F26" s="11" t="s">
        <v>66</v>
      </c>
      <c r="G26" s="11" t="s">
        <v>75</v>
      </c>
      <c r="H26" s="11"/>
      <c r="I26" s="11" t="s">
        <v>2069</v>
      </c>
      <c r="J26" s="11" t="s">
        <v>2070</v>
      </c>
      <c r="K26" s="11"/>
      <c r="L26" s="11" t="s">
        <v>70</v>
      </c>
      <c r="M26" s="11" t="s">
        <v>71</v>
      </c>
      <c r="N26" s="11" t="s">
        <v>72</v>
      </c>
      <c r="O26" s="11" t="s">
        <v>19</v>
      </c>
      <c r="P26" s="13"/>
      <c r="Q26" s="13"/>
      <c r="R26" s="13"/>
      <c r="S26" s="13"/>
      <c r="T26" s="11" t="s">
        <v>19</v>
      </c>
      <c r="U26" s="13"/>
      <c r="V26" s="13"/>
      <c r="W26" s="13"/>
      <c r="X26" s="13"/>
      <c r="Y26" s="13"/>
      <c r="Z26" s="13"/>
      <c r="AA26" s="13"/>
    </row>
    <row r="27" spans="1:27" ht="45" x14ac:dyDescent="0.25">
      <c r="A27" s="11" t="s">
        <v>2071</v>
      </c>
      <c r="B27" s="12" t="s">
        <v>1994</v>
      </c>
      <c r="C27" s="11" t="s">
        <v>2046</v>
      </c>
      <c r="D27" s="11" t="s">
        <v>2047</v>
      </c>
      <c r="E27" s="11" t="s">
        <v>2072</v>
      </c>
      <c r="F27" s="11" t="s">
        <v>66</v>
      </c>
      <c r="G27" s="11" t="s">
        <v>75</v>
      </c>
      <c r="H27" s="11"/>
      <c r="I27" s="11" t="s">
        <v>2073</v>
      </c>
      <c r="J27" s="11" t="s">
        <v>2074</v>
      </c>
      <c r="K27" s="11"/>
      <c r="L27" s="11" t="s">
        <v>70</v>
      </c>
      <c r="M27" s="11" t="s">
        <v>71</v>
      </c>
      <c r="N27" s="11" t="s">
        <v>72</v>
      </c>
      <c r="O27" s="11" t="s">
        <v>19</v>
      </c>
      <c r="P27" s="13"/>
      <c r="Q27" s="13"/>
      <c r="R27" s="13"/>
      <c r="S27" s="13"/>
      <c r="T27" s="11" t="s">
        <v>19</v>
      </c>
      <c r="U27" s="13"/>
      <c r="V27" s="13"/>
      <c r="W27" s="13"/>
      <c r="X27" s="13"/>
      <c r="Y27" s="13"/>
      <c r="Z27" s="13"/>
      <c r="AA27" s="13"/>
    </row>
    <row r="28" spans="1:27" ht="45" x14ac:dyDescent="0.25">
      <c r="A28" s="11" t="s">
        <v>2075</v>
      </c>
      <c r="B28" s="12" t="s">
        <v>1994</v>
      </c>
      <c r="C28" s="11" t="s">
        <v>2046</v>
      </c>
      <c r="D28" s="11" t="s">
        <v>2047</v>
      </c>
      <c r="E28" s="11" t="s">
        <v>2076</v>
      </c>
      <c r="F28" s="11" t="s">
        <v>66</v>
      </c>
      <c r="G28" s="11" t="s">
        <v>75</v>
      </c>
      <c r="H28" s="11"/>
      <c r="I28" s="11" t="s">
        <v>2077</v>
      </c>
      <c r="J28" s="11" t="s">
        <v>2078</v>
      </c>
      <c r="K28" s="11"/>
      <c r="L28" s="11" t="s">
        <v>70</v>
      </c>
      <c r="M28" s="11" t="s">
        <v>71</v>
      </c>
      <c r="N28" s="11" t="s">
        <v>72</v>
      </c>
      <c r="O28" s="11" t="s">
        <v>19</v>
      </c>
      <c r="P28" s="13"/>
      <c r="Q28" s="13"/>
      <c r="R28" s="13"/>
      <c r="S28" s="13"/>
      <c r="T28" s="11" t="s">
        <v>19</v>
      </c>
      <c r="U28" s="13"/>
      <c r="V28" s="13"/>
      <c r="W28" s="13"/>
      <c r="X28" s="13"/>
      <c r="Y28" s="13"/>
      <c r="Z28" s="13"/>
      <c r="AA28" s="13"/>
    </row>
    <row r="29" spans="1:27" ht="45" x14ac:dyDescent="0.25">
      <c r="A29" s="11" t="s">
        <v>2079</v>
      </c>
      <c r="B29" s="12" t="s">
        <v>1994</v>
      </c>
      <c r="C29" s="11" t="s">
        <v>2046</v>
      </c>
      <c r="D29" s="11" t="s">
        <v>2047</v>
      </c>
      <c r="E29" s="11" t="s">
        <v>2080</v>
      </c>
      <c r="F29" s="11" t="s">
        <v>66</v>
      </c>
      <c r="G29" s="11" t="s">
        <v>94</v>
      </c>
      <c r="H29" s="11"/>
      <c r="I29" s="11" t="s">
        <v>2081</v>
      </c>
      <c r="J29" s="11" t="s">
        <v>2082</v>
      </c>
      <c r="K29" s="11"/>
      <c r="L29" s="11" t="s">
        <v>70</v>
      </c>
      <c r="M29" s="11" t="s">
        <v>71</v>
      </c>
      <c r="N29" s="11" t="s">
        <v>72</v>
      </c>
      <c r="O29" s="11" t="s">
        <v>19</v>
      </c>
      <c r="P29" s="13"/>
      <c r="Q29" s="13"/>
      <c r="R29" s="13"/>
      <c r="S29" s="13"/>
      <c r="T29" s="11" t="s">
        <v>19</v>
      </c>
      <c r="U29" s="13"/>
      <c r="V29" s="13"/>
      <c r="W29" s="13"/>
      <c r="X29" s="13"/>
      <c r="Y29" s="13"/>
      <c r="Z29" s="13"/>
      <c r="AA29" s="13"/>
    </row>
    <row r="30" spans="1:27" ht="45" x14ac:dyDescent="0.25">
      <c r="A30" s="11" t="s">
        <v>2083</v>
      </c>
      <c r="B30" s="12" t="s">
        <v>1994</v>
      </c>
      <c r="C30" s="11" t="s">
        <v>2046</v>
      </c>
      <c r="D30" s="11" t="s">
        <v>2047</v>
      </c>
      <c r="E30" s="11" t="s">
        <v>2084</v>
      </c>
      <c r="F30" s="11" t="s">
        <v>66</v>
      </c>
      <c r="G30" s="11" t="s">
        <v>94</v>
      </c>
      <c r="H30" s="11"/>
      <c r="I30" s="11" t="s">
        <v>2085</v>
      </c>
      <c r="J30" s="11" t="s">
        <v>2086</v>
      </c>
      <c r="K30" s="11"/>
      <c r="L30" s="11" t="s">
        <v>70</v>
      </c>
      <c r="M30" s="11" t="s">
        <v>71</v>
      </c>
      <c r="N30" s="11" t="s">
        <v>72</v>
      </c>
      <c r="O30" s="11" t="s">
        <v>19</v>
      </c>
      <c r="P30" s="13"/>
      <c r="Q30" s="13"/>
      <c r="R30" s="13"/>
      <c r="S30" s="13"/>
      <c r="T30" s="11" t="s">
        <v>19</v>
      </c>
      <c r="U30" s="13"/>
      <c r="V30" s="13"/>
      <c r="W30" s="13"/>
      <c r="X30" s="13"/>
      <c r="Y30" s="13"/>
      <c r="Z30" s="13"/>
      <c r="AA30" s="13"/>
    </row>
    <row r="31" spans="1:27" ht="30" x14ac:dyDescent="0.25">
      <c r="A31" s="11" t="s">
        <v>2087</v>
      </c>
      <c r="B31" s="12" t="s">
        <v>1994</v>
      </c>
      <c r="C31" s="11" t="s">
        <v>2046</v>
      </c>
      <c r="D31" s="11" t="s">
        <v>2047</v>
      </c>
      <c r="E31" s="11" t="s">
        <v>2088</v>
      </c>
      <c r="F31" s="11" t="s">
        <v>66</v>
      </c>
      <c r="G31" s="11" t="s">
        <v>94</v>
      </c>
      <c r="H31" s="11"/>
      <c r="I31" s="11" t="s">
        <v>2089</v>
      </c>
      <c r="J31" s="11" t="s">
        <v>2090</v>
      </c>
      <c r="K31" s="11"/>
      <c r="L31" s="11" t="s">
        <v>70</v>
      </c>
      <c r="M31" s="11" t="s">
        <v>71</v>
      </c>
      <c r="N31" s="11" t="s">
        <v>72</v>
      </c>
      <c r="O31" s="11" t="s">
        <v>19</v>
      </c>
      <c r="P31" s="13"/>
      <c r="Q31" s="13"/>
      <c r="R31" s="13"/>
      <c r="S31" s="13"/>
      <c r="T31" s="11" t="s">
        <v>19</v>
      </c>
      <c r="U31" s="13"/>
      <c r="V31" s="13"/>
      <c r="W31" s="13"/>
      <c r="X31" s="13"/>
      <c r="Y31" s="13"/>
      <c r="Z31" s="13"/>
      <c r="AA31" s="13"/>
    </row>
    <row r="32" spans="1:27" ht="30" x14ac:dyDescent="0.25">
      <c r="A32" s="11" t="s">
        <v>2091</v>
      </c>
      <c r="B32" s="12" t="s">
        <v>1994</v>
      </c>
      <c r="C32" s="11" t="s">
        <v>2046</v>
      </c>
      <c r="D32" s="11" t="s">
        <v>2047</v>
      </c>
      <c r="E32" s="11" t="s">
        <v>2092</v>
      </c>
      <c r="F32" s="11" t="s">
        <v>66</v>
      </c>
      <c r="G32" s="11" t="s">
        <v>94</v>
      </c>
      <c r="H32" s="11"/>
      <c r="I32" s="11" t="s">
        <v>2093</v>
      </c>
      <c r="J32" s="11" t="s">
        <v>2094</v>
      </c>
      <c r="K32" s="11"/>
      <c r="L32" s="11" t="s">
        <v>70</v>
      </c>
      <c r="M32" s="11" t="s">
        <v>71</v>
      </c>
      <c r="N32" s="11" t="s">
        <v>72</v>
      </c>
      <c r="O32" s="11" t="s">
        <v>19</v>
      </c>
      <c r="P32" s="13"/>
      <c r="Q32" s="13"/>
      <c r="R32" s="13"/>
      <c r="S32" s="13"/>
      <c r="T32" s="11" t="s">
        <v>19</v>
      </c>
      <c r="U32" s="13"/>
      <c r="V32" s="13"/>
      <c r="W32" s="13"/>
      <c r="X32" s="13"/>
      <c r="Y32" s="13"/>
      <c r="Z32" s="13"/>
      <c r="AA32" s="13"/>
    </row>
    <row r="33" spans="1:27" ht="45" x14ac:dyDescent="0.25">
      <c r="A33" s="11" t="s">
        <v>2095</v>
      </c>
      <c r="B33" s="12" t="s">
        <v>1994</v>
      </c>
      <c r="C33" s="11" t="s">
        <v>2046</v>
      </c>
      <c r="D33" s="11" t="s">
        <v>2047</v>
      </c>
      <c r="E33" s="11" t="s">
        <v>2096</v>
      </c>
      <c r="F33" s="11" t="s">
        <v>66</v>
      </c>
      <c r="G33" s="11" t="s">
        <v>94</v>
      </c>
      <c r="H33" s="11"/>
      <c r="I33" s="11" t="s">
        <v>99</v>
      </c>
      <c r="J33" s="11" t="s">
        <v>2097</v>
      </c>
      <c r="K33" s="11"/>
      <c r="L33" s="11" t="s">
        <v>70</v>
      </c>
      <c r="M33" s="11" t="s">
        <v>71</v>
      </c>
      <c r="N33" s="11" t="s">
        <v>72</v>
      </c>
      <c r="O33" s="11" t="s">
        <v>19</v>
      </c>
      <c r="P33" s="13"/>
      <c r="Q33" s="13"/>
      <c r="R33" s="13"/>
      <c r="S33" s="13"/>
      <c r="T33" s="11" t="s">
        <v>19</v>
      </c>
      <c r="U33" s="13"/>
      <c r="V33" s="13"/>
      <c r="W33" s="13"/>
      <c r="X33" s="13"/>
      <c r="Y33" s="13"/>
      <c r="Z33" s="13"/>
      <c r="AA33" s="13"/>
    </row>
    <row r="34" spans="1:27" ht="45" x14ac:dyDescent="0.25">
      <c r="A34" s="11" t="s">
        <v>2098</v>
      </c>
      <c r="B34" s="12" t="s">
        <v>1994</v>
      </c>
      <c r="C34" s="11" t="s">
        <v>2046</v>
      </c>
      <c r="D34" s="11" t="s">
        <v>2047</v>
      </c>
      <c r="E34" s="11" t="s">
        <v>2099</v>
      </c>
      <c r="F34" s="11" t="s">
        <v>66</v>
      </c>
      <c r="G34" s="11" t="s">
        <v>94</v>
      </c>
      <c r="H34" s="11"/>
      <c r="I34" s="11" t="s">
        <v>2100</v>
      </c>
      <c r="J34" s="11" t="s">
        <v>2101</v>
      </c>
      <c r="K34" s="11"/>
      <c r="L34" s="11" t="s">
        <v>70</v>
      </c>
      <c r="M34" s="11" t="s">
        <v>71</v>
      </c>
      <c r="N34" s="11" t="s">
        <v>72</v>
      </c>
      <c r="O34" s="11" t="s">
        <v>19</v>
      </c>
      <c r="P34" s="13"/>
      <c r="Q34" s="13"/>
      <c r="R34" s="13"/>
      <c r="S34" s="13"/>
      <c r="T34" s="11" t="s">
        <v>19</v>
      </c>
      <c r="U34" s="13"/>
      <c r="V34" s="13"/>
      <c r="W34" s="13"/>
      <c r="X34" s="13"/>
      <c r="Y34" s="13"/>
      <c r="Z34" s="13"/>
      <c r="AA34" s="13"/>
    </row>
    <row r="35" spans="1:27" ht="45" x14ac:dyDescent="0.25">
      <c r="A35" s="11" t="s">
        <v>2102</v>
      </c>
      <c r="B35" s="12" t="s">
        <v>2103</v>
      </c>
      <c r="C35" s="11" t="s">
        <v>2104</v>
      </c>
      <c r="D35" s="11" t="s">
        <v>2105</v>
      </c>
      <c r="E35" s="11" t="s">
        <v>2106</v>
      </c>
      <c r="F35" s="11" t="s">
        <v>66</v>
      </c>
      <c r="G35" s="11" t="s">
        <v>75</v>
      </c>
      <c r="H35" s="11"/>
      <c r="I35" s="11" t="s">
        <v>2107</v>
      </c>
      <c r="J35" s="11" t="s">
        <v>2108</v>
      </c>
      <c r="K35" s="11"/>
      <c r="L35" s="11" t="s">
        <v>70</v>
      </c>
      <c r="M35" s="11" t="s">
        <v>71</v>
      </c>
      <c r="N35" s="11" t="s">
        <v>72</v>
      </c>
      <c r="O35" s="11" t="s">
        <v>19</v>
      </c>
      <c r="P35" s="13"/>
      <c r="Q35" s="13"/>
      <c r="R35" s="13"/>
      <c r="S35" s="13"/>
      <c r="T35" s="11" t="s">
        <v>19</v>
      </c>
      <c r="U35" s="13"/>
      <c r="V35" s="13"/>
      <c r="W35" s="13"/>
      <c r="X35" s="13"/>
      <c r="Y35" s="13"/>
      <c r="Z35" s="13"/>
      <c r="AA35" s="13"/>
    </row>
    <row r="36" spans="1:27" ht="30" x14ac:dyDescent="0.25">
      <c r="A36" s="11" t="s">
        <v>2109</v>
      </c>
      <c r="B36" s="12" t="s">
        <v>2103</v>
      </c>
      <c r="C36" s="11" t="s">
        <v>2104</v>
      </c>
      <c r="D36" s="11" t="s">
        <v>2105</v>
      </c>
      <c r="E36" s="11" t="s">
        <v>2110</v>
      </c>
      <c r="F36" s="11" t="s">
        <v>66</v>
      </c>
      <c r="G36" s="11" t="s">
        <v>75</v>
      </c>
      <c r="H36" s="11"/>
      <c r="I36" s="11" t="s">
        <v>2111</v>
      </c>
      <c r="J36" s="11" t="s">
        <v>2112</v>
      </c>
      <c r="K36" s="11"/>
      <c r="L36" s="11" t="s">
        <v>70</v>
      </c>
      <c r="M36" s="11" t="s">
        <v>71</v>
      </c>
      <c r="N36" s="11" t="s">
        <v>72</v>
      </c>
      <c r="O36" s="11" t="s">
        <v>19</v>
      </c>
      <c r="P36" s="13"/>
      <c r="Q36" s="13"/>
      <c r="R36" s="13"/>
      <c r="S36" s="13"/>
      <c r="T36" s="11" t="s">
        <v>19</v>
      </c>
      <c r="U36" s="13"/>
      <c r="V36" s="13"/>
      <c r="W36" s="13"/>
      <c r="X36" s="13"/>
      <c r="Y36" s="13"/>
      <c r="Z36" s="13"/>
      <c r="AA36" s="13"/>
    </row>
    <row r="37" spans="1:27" ht="45" x14ac:dyDescent="0.25">
      <c r="A37" s="11" t="s">
        <v>2113</v>
      </c>
      <c r="B37" s="12" t="s">
        <v>2103</v>
      </c>
      <c r="C37" s="11" t="s">
        <v>2104</v>
      </c>
      <c r="D37" s="11" t="s">
        <v>2105</v>
      </c>
      <c r="E37" s="11" t="s">
        <v>2114</v>
      </c>
      <c r="F37" s="11" t="s">
        <v>66</v>
      </c>
      <c r="G37" s="11" t="s">
        <v>75</v>
      </c>
      <c r="H37" s="11"/>
      <c r="I37" s="11" t="s">
        <v>2115</v>
      </c>
      <c r="J37" s="11" t="s">
        <v>2116</v>
      </c>
      <c r="K37" s="11"/>
      <c r="L37" s="11" t="s">
        <v>70</v>
      </c>
      <c r="M37" s="11" t="s">
        <v>71</v>
      </c>
      <c r="N37" s="11" t="s">
        <v>72</v>
      </c>
      <c r="O37" s="11" t="s">
        <v>19</v>
      </c>
      <c r="P37" s="13"/>
      <c r="Q37" s="13"/>
      <c r="R37" s="13"/>
      <c r="S37" s="13"/>
      <c r="T37" s="11" t="s">
        <v>19</v>
      </c>
      <c r="U37" s="13"/>
      <c r="V37" s="13"/>
      <c r="W37" s="13"/>
      <c r="X37" s="13"/>
      <c r="Y37" s="13"/>
      <c r="Z37" s="13"/>
      <c r="AA37" s="13"/>
    </row>
    <row r="38" spans="1:27" ht="30" x14ac:dyDescent="0.25">
      <c r="A38" s="11" t="s">
        <v>2117</v>
      </c>
      <c r="B38" s="12" t="s">
        <v>2103</v>
      </c>
      <c r="C38" s="11" t="s">
        <v>2104</v>
      </c>
      <c r="D38" s="11" t="s">
        <v>2105</v>
      </c>
      <c r="E38" s="11" t="s">
        <v>2118</v>
      </c>
      <c r="F38" s="11" t="s">
        <v>66</v>
      </c>
      <c r="G38" s="11" t="s">
        <v>94</v>
      </c>
      <c r="H38" s="11"/>
      <c r="I38" s="11" t="s">
        <v>2119</v>
      </c>
      <c r="J38" s="11" t="s">
        <v>2120</v>
      </c>
      <c r="K38" s="11"/>
      <c r="L38" s="11" t="s">
        <v>70</v>
      </c>
      <c r="M38" s="11" t="s">
        <v>71</v>
      </c>
      <c r="N38" s="11" t="s">
        <v>72</v>
      </c>
      <c r="O38" s="11" t="s">
        <v>19</v>
      </c>
      <c r="P38" s="13"/>
      <c r="Q38" s="13"/>
      <c r="R38" s="13"/>
      <c r="S38" s="13"/>
      <c r="T38" s="11" t="s">
        <v>19</v>
      </c>
      <c r="U38" s="13"/>
      <c r="V38" s="13"/>
      <c r="W38" s="13"/>
      <c r="X38" s="13"/>
      <c r="Y38" s="13"/>
      <c r="Z38" s="13"/>
      <c r="AA38" s="13"/>
    </row>
    <row r="39" spans="1:27" ht="45" x14ac:dyDescent="0.25">
      <c r="A39" s="11" t="s">
        <v>2121</v>
      </c>
      <c r="B39" s="12" t="s">
        <v>2103</v>
      </c>
      <c r="C39" s="11" t="s">
        <v>2122</v>
      </c>
      <c r="D39" s="11" t="s">
        <v>2123</v>
      </c>
      <c r="E39" s="11" t="s">
        <v>2124</v>
      </c>
      <c r="F39" s="11" t="s">
        <v>66</v>
      </c>
      <c r="G39" s="11" t="s">
        <v>75</v>
      </c>
      <c r="H39" s="11"/>
      <c r="I39" s="11" t="s">
        <v>2125</v>
      </c>
      <c r="J39" s="11" t="s">
        <v>2126</v>
      </c>
      <c r="K39" s="11"/>
      <c r="L39" s="11" t="s">
        <v>70</v>
      </c>
      <c r="M39" s="11" t="s">
        <v>71</v>
      </c>
      <c r="N39" s="11" t="s">
        <v>72</v>
      </c>
      <c r="O39" s="11" t="s">
        <v>19</v>
      </c>
      <c r="P39" s="13"/>
      <c r="Q39" s="13"/>
      <c r="R39" s="13"/>
      <c r="S39" s="13"/>
      <c r="T39" s="11" t="s">
        <v>19</v>
      </c>
      <c r="U39" s="13"/>
      <c r="V39" s="13"/>
      <c r="W39" s="13"/>
      <c r="X39" s="13"/>
      <c r="Y39" s="13"/>
      <c r="Z39" s="13"/>
      <c r="AA39" s="13"/>
    </row>
    <row r="40" spans="1:27" ht="45" x14ac:dyDescent="0.25">
      <c r="A40" s="11" t="s">
        <v>2127</v>
      </c>
      <c r="B40" s="12" t="s">
        <v>2103</v>
      </c>
      <c r="C40" s="11" t="s">
        <v>2128</v>
      </c>
      <c r="D40" s="11" t="s">
        <v>2129</v>
      </c>
      <c r="E40" s="11" t="s">
        <v>2130</v>
      </c>
      <c r="F40" s="11" t="s">
        <v>66</v>
      </c>
      <c r="G40" s="11" t="s">
        <v>75</v>
      </c>
      <c r="H40" s="11"/>
      <c r="I40" s="11" t="s">
        <v>2125</v>
      </c>
      <c r="J40" s="11" t="s">
        <v>2131</v>
      </c>
      <c r="K40" s="11"/>
      <c r="L40" s="11" t="s">
        <v>70</v>
      </c>
      <c r="M40" s="11" t="s">
        <v>71</v>
      </c>
      <c r="N40" s="11" t="s">
        <v>72</v>
      </c>
      <c r="O40" s="11" t="s">
        <v>19</v>
      </c>
      <c r="P40" s="13"/>
      <c r="Q40" s="13"/>
      <c r="R40" s="13"/>
      <c r="S40" s="13"/>
      <c r="T40" s="11" t="s">
        <v>19</v>
      </c>
      <c r="U40" s="13"/>
      <c r="V40" s="13"/>
      <c r="W40" s="13"/>
      <c r="X40" s="13"/>
      <c r="Y40" s="13"/>
      <c r="Z40" s="13"/>
      <c r="AA40" s="13"/>
    </row>
    <row r="41" spans="1:27" ht="45" x14ac:dyDescent="0.25">
      <c r="A41" s="11" t="s">
        <v>2132</v>
      </c>
      <c r="B41" s="12" t="s">
        <v>2133</v>
      </c>
      <c r="C41" s="11" t="s">
        <v>2134</v>
      </c>
      <c r="D41" s="11" t="s">
        <v>2135</v>
      </c>
      <c r="E41" s="11" t="s">
        <v>2136</v>
      </c>
      <c r="F41" s="11" t="s">
        <v>66</v>
      </c>
      <c r="G41" s="11" t="s">
        <v>75</v>
      </c>
      <c r="H41" s="11"/>
      <c r="I41" s="11" t="s">
        <v>2137</v>
      </c>
      <c r="J41" s="11" t="s">
        <v>2138</v>
      </c>
      <c r="K41" s="11"/>
      <c r="L41" s="11" t="s">
        <v>70</v>
      </c>
      <c r="M41" s="11" t="s">
        <v>71</v>
      </c>
      <c r="N41" s="11" t="s">
        <v>72</v>
      </c>
      <c r="O41" s="11" t="s">
        <v>19</v>
      </c>
      <c r="P41" s="13"/>
      <c r="Q41" s="13"/>
      <c r="R41" s="13"/>
      <c r="S41" s="13"/>
      <c r="T41" s="11" t="s">
        <v>19</v>
      </c>
      <c r="U41" s="13"/>
      <c r="V41" s="13"/>
      <c r="W41" s="13"/>
      <c r="X41" s="13"/>
      <c r="Y41" s="13"/>
      <c r="Z41" s="13"/>
      <c r="AA41" s="13"/>
    </row>
    <row r="42" spans="1:27" ht="45" x14ac:dyDescent="0.25">
      <c r="A42" s="11" t="s">
        <v>2139</v>
      </c>
      <c r="B42" s="12" t="s">
        <v>2133</v>
      </c>
      <c r="C42" s="11" t="s">
        <v>2134</v>
      </c>
      <c r="D42" s="11" t="s">
        <v>2140</v>
      </c>
      <c r="E42" s="11" t="s">
        <v>2141</v>
      </c>
      <c r="F42" s="11" t="s">
        <v>66</v>
      </c>
      <c r="G42" s="11" t="s">
        <v>75</v>
      </c>
      <c r="H42" s="11"/>
      <c r="I42" s="11" t="s">
        <v>2142</v>
      </c>
      <c r="J42" s="11" t="s">
        <v>2143</v>
      </c>
      <c r="K42" s="11"/>
      <c r="L42" s="11" t="s">
        <v>70</v>
      </c>
      <c r="M42" s="11" t="s">
        <v>71</v>
      </c>
      <c r="N42" s="11" t="s">
        <v>72</v>
      </c>
      <c r="O42" s="11" t="s">
        <v>19</v>
      </c>
      <c r="P42" s="13"/>
      <c r="Q42" s="13"/>
      <c r="R42" s="13"/>
      <c r="S42" s="13"/>
      <c r="T42" s="11" t="s">
        <v>19</v>
      </c>
      <c r="U42" s="13"/>
      <c r="V42" s="13"/>
      <c r="W42" s="13"/>
      <c r="X42" s="13"/>
      <c r="Y42" s="13"/>
      <c r="Z42" s="13"/>
      <c r="AA42" s="13"/>
    </row>
    <row r="43" spans="1:27" ht="45" x14ac:dyDescent="0.25">
      <c r="A43" s="11" t="s">
        <v>2144</v>
      </c>
      <c r="B43" s="12" t="s">
        <v>2133</v>
      </c>
      <c r="C43" s="11" t="s">
        <v>2134</v>
      </c>
      <c r="D43" s="11" t="s">
        <v>2145</v>
      </c>
      <c r="E43" s="11" t="s">
        <v>2146</v>
      </c>
      <c r="F43" s="11" t="s">
        <v>66</v>
      </c>
      <c r="G43" s="11" t="s">
        <v>75</v>
      </c>
      <c r="H43" s="11"/>
      <c r="I43" s="11" t="s">
        <v>2147</v>
      </c>
      <c r="J43" s="11" t="s">
        <v>2148</v>
      </c>
      <c r="K43" s="11"/>
      <c r="L43" s="11" t="s">
        <v>70</v>
      </c>
      <c r="M43" s="11" t="s">
        <v>71</v>
      </c>
      <c r="N43" s="11" t="s">
        <v>72</v>
      </c>
      <c r="O43" s="11" t="s">
        <v>19</v>
      </c>
      <c r="P43" s="13"/>
      <c r="Q43" s="13"/>
      <c r="R43" s="13"/>
      <c r="S43" s="13"/>
      <c r="T43" s="11" t="s">
        <v>19</v>
      </c>
      <c r="U43" s="13"/>
      <c r="V43" s="13"/>
      <c r="W43" s="13"/>
      <c r="X43" s="13"/>
      <c r="Y43" s="13"/>
      <c r="Z43" s="13"/>
      <c r="AA43" s="13"/>
    </row>
    <row r="44" spans="1:27" ht="30" x14ac:dyDescent="0.25">
      <c r="A44" s="11" t="s">
        <v>2149</v>
      </c>
      <c r="B44" s="12" t="s">
        <v>2133</v>
      </c>
      <c r="C44" s="11" t="s">
        <v>2134</v>
      </c>
      <c r="D44" s="11" t="s">
        <v>2150</v>
      </c>
      <c r="E44" s="11" t="s">
        <v>2151</v>
      </c>
      <c r="F44" s="11" t="s">
        <v>66</v>
      </c>
      <c r="G44" s="11" t="s">
        <v>75</v>
      </c>
      <c r="H44" s="11"/>
      <c r="I44" s="11" t="s">
        <v>2152</v>
      </c>
      <c r="J44" s="11" t="s">
        <v>2153</v>
      </c>
      <c r="K44" s="11"/>
      <c r="L44" s="11" t="s">
        <v>70</v>
      </c>
      <c r="M44" s="11" t="s">
        <v>71</v>
      </c>
      <c r="N44" s="11" t="s">
        <v>72</v>
      </c>
      <c r="O44" s="11" t="s">
        <v>19</v>
      </c>
      <c r="P44" s="13"/>
      <c r="Q44" s="13"/>
      <c r="R44" s="13"/>
      <c r="S44" s="13"/>
      <c r="T44" s="11" t="s">
        <v>19</v>
      </c>
      <c r="U44" s="13"/>
      <c r="V44" s="13"/>
      <c r="W44" s="13"/>
      <c r="X44" s="13"/>
      <c r="Y44" s="13"/>
      <c r="Z44" s="13"/>
      <c r="AA44" s="13"/>
    </row>
    <row r="45" spans="1:27" ht="45" x14ac:dyDescent="0.25">
      <c r="A45" s="11" t="s">
        <v>2154</v>
      </c>
      <c r="B45" s="12" t="s">
        <v>2133</v>
      </c>
      <c r="C45" s="11" t="s">
        <v>2134</v>
      </c>
      <c r="D45" s="11" t="s">
        <v>2155</v>
      </c>
      <c r="E45" s="11" t="s">
        <v>2156</v>
      </c>
      <c r="F45" s="11" t="s">
        <v>66</v>
      </c>
      <c r="G45" s="11" t="s">
        <v>75</v>
      </c>
      <c r="H45" s="11"/>
      <c r="I45" s="11" t="s">
        <v>2157</v>
      </c>
      <c r="J45" s="11" t="s">
        <v>2158</v>
      </c>
      <c r="K45" s="11"/>
      <c r="L45" s="11" t="s">
        <v>70</v>
      </c>
      <c r="M45" s="11" t="s">
        <v>71</v>
      </c>
      <c r="N45" s="11" t="s">
        <v>72</v>
      </c>
      <c r="O45" s="11" t="s">
        <v>19</v>
      </c>
      <c r="P45" s="13"/>
      <c r="Q45" s="13"/>
      <c r="R45" s="13"/>
      <c r="S45" s="13"/>
      <c r="T45" s="11" t="s">
        <v>19</v>
      </c>
      <c r="U45" s="13"/>
      <c r="V45" s="13"/>
      <c r="W45" s="13"/>
      <c r="X45" s="13"/>
      <c r="Y45" s="13"/>
      <c r="Z45" s="13"/>
      <c r="AA45" s="13"/>
    </row>
    <row r="46" spans="1:27" ht="30" x14ac:dyDescent="0.25">
      <c r="A46" s="11" t="s">
        <v>2159</v>
      </c>
      <c r="B46" s="12" t="s">
        <v>2133</v>
      </c>
      <c r="C46" s="11" t="s">
        <v>2134</v>
      </c>
      <c r="D46" s="11" t="s">
        <v>2160</v>
      </c>
      <c r="E46" s="11" t="s">
        <v>2161</v>
      </c>
      <c r="F46" s="11" t="s">
        <v>66</v>
      </c>
      <c r="G46" s="11" t="s">
        <v>94</v>
      </c>
      <c r="H46" s="11"/>
      <c r="I46" s="11" t="s">
        <v>2162</v>
      </c>
      <c r="J46" s="11" t="s">
        <v>2163</v>
      </c>
      <c r="K46" s="11"/>
      <c r="L46" s="11" t="s">
        <v>70</v>
      </c>
      <c r="M46" s="11" t="s">
        <v>71</v>
      </c>
      <c r="N46" s="11" t="s">
        <v>72</v>
      </c>
      <c r="O46" s="11" t="s">
        <v>19</v>
      </c>
      <c r="P46" s="13"/>
      <c r="Q46" s="13"/>
      <c r="R46" s="13"/>
      <c r="S46" s="13"/>
      <c r="T46" s="11" t="s">
        <v>19</v>
      </c>
      <c r="U46" s="13"/>
      <c r="V46" s="13"/>
      <c r="W46" s="13"/>
      <c r="X46" s="13"/>
      <c r="Y46" s="13"/>
      <c r="Z46" s="13"/>
      <c r="AA46" s="13"/>
    </row>
    <row r="47" spans="1:27" ht="30" x14ac:dyDescent="0.25">
      <c r="A47" s="11" t="s">
        <v>2164</v>
      </c>
      <c r="B47" s="12" t="s">
        <v>2133</v>
      </c>
      <c r="C47" s="11" t="s">
        <v>2134</v>
      </c>
      <c r="D47" s="11" t="s">
        <v>2165</v>
      </c>
      <c r="E47" s="11" t="s">
        <v>2166</v>
      </c>
      <c r="F47" s="11" t="s">
        <v>66</v>
      </c>
      <c r="G47" s="11" t="s">
        <v>94</v>
      </c>
      <c r="H47" s="11"/>
      <c r="I47" s="11" t="s">
        <v>2137</v>
      </c>
      <c r="J47" s="11" t="s">
        <v>2167</v>
      </c>
      <c r="K47" s="11"/>
      <c r="L47" s="11" t="s">
        <v>70</v>
      </c>
      <c r="M47" s="11" t="s">
        <v>71</v>
      </c>
      <c r="N47" s="11" t="s">
        <v>72</v>
      </c>
      <c r="O47" s="11" t="s">
        <v>19</v>
      </c>
      <c r="P47" s="13"/>
      <c r="Q47" s="13"/>
      <c r="R47" s="13"/>
      <c r="S47" s="13"/>
      <c r="T47" s="11" t="s">
        <v>19</v>
      </c>
      <c r="U47" s="13"/>
      <c r="V47" s="13"/>
      <c r="W47" s="13"/>
      <c r="X47" s="13"/>
      <c r="Y47" s="13"/>
      <c r="Z47" s="13"/>
      <c r="AA47" s="13"/>
    </row>
    <row r="48" spans="1:27" ht="45" x14ac:dyDescent="0.25">
      <c r="A48" s="11" t="s">
        <v>2168</v>
      </c>
      <c r="B48" s="12" t="s">
        <v>2169</v>
      </c>
      <c r="C48" s="11" t="s">
        <v>2170</v>
      </c>
      <c r="D48" s="11" t="s">
        <v>2171</v>
      </c>
      <c r="E48" s="11" t="s">
        <v>2172</v>
      </c>
      <c r="F48" s="11" t="s">
        <v>66</v>
      </c>
      <c r="G48" s="11" t="s">
        <v>75</v>
      </c>
      <c r="H48" s="11"/>
      <c r="I48" s="11" t="s">
        <v>2173</v>
      </c>
      <c r="J48" s="11" t="s">
        <v>2174</v>
      </c>
      <c r="K48" s="11"/>
      <c r="L48" s="11" t="s">
        <v>70</v>
      </c>
      <c r="M48" s="11" t="s">
        <v>71</v>
      </c>
      <c r="N48" s="11" t="s">
        <v>72</v>
      </c>
      <c r="O48" s="11" t="s">
        <v>19</v>
      </c>
      <c r="P48" s="13"/>
      <c r="Q48" s="13"/>
      <c r="R48" s="13"/>
      <c r="S48" s="13"/>
      <c r="T48" s="11" t="s">
        <v>19</v>
      </c>
      <c r="U48" s="13"/>
      <c r="V48" s="13"/>
      <c r="W48" s="13"/>
      <c r="X48" s="13"/>
      <c r="Y48" s="13"/>
      <c r="Z48" s="13"/>
      <c r="AA48" s="13"/>
    </row>
    <row r="49" spans="1:27" ht="30" x14ac:dyDescent="0.25">
      <c r="A49" s="11" t="s">
        <v>2175</v>
      </c>
      <c r="B49" s="12" t="s">
        <v>2169</v>
      </c>
      <c r="C49" s="11" t="s">
        <v>2170</v>
      </c>
      <c r="D49" s="11" t="s">
        <v>2176</v>
      </c>
      <c r="E49" s="11" t="s">
        <v>2177</v>
      </c>
      <c r="F49" s="11" t="s">
        <v>66</v>
      </c>
      <c r="G49" s="11" t="s">
        <v>75</v>
      </c>
      <c r="H49" s="11"/>
      <c r="I49" s="11" t="s">
        <v>2178</v>
      </c>
      <c r="J49" s="11" t="s">
        <v>2179</v>
      </c>
      <c r="K49" s="11"/>
      <c r="L49" s="11" t="s">
        <v>70</v>
      </c>
      <c r="M49" s="11" t="s">
        <v>71</v>
      </c>
      <c r="N49" s="11" t="s">
        <v>72</v>
      </c>
      <c r="O49" s="11" t="s">
        <v>19</v>
      </c>
      <c r="P49" s="13"/>
      <c r="Q49" s="13"/>
      <c r="R49" s="13"/>
      <c r="S49" s="13"/>
      <c r="T49" s="11" t="s">
        <v>19</v>
      </c>
      <c r="U49" s="13"/>
      <c r="V49" s="13"/>
      <c r="W49" s="13"/>
      <c r="X49" s="13"/>
      <c r="Y49" s="13"/>
      <c r="Z49" s="13"/>
      <c r="AA49" s="13"/>
    </row>
    <row r="50" spans="1:27" ht="30" x14ac:dyDescent="0.25">
      <c r="A50" s="11" t="s">
        <v>2180</v>
      </c>
      <c r="B50" s="12" t="s">
        <v>2169</v>
      </c>
      <c r="C50" s="11" t="s">
        <v>2170</v>
      </c>
      <c r="D50" s="11" t="s">
        <v>2181</v>
      </c>
      <c r="E50" s="11" t="s">
        <v>2182</v>
      </c>
      <c r="F50" s="11" t="s">
        <v>66</v>
      </c>
      <c r="G50" s="11" t="s">
        <v>94</v>
      </c>
      <c r="H50" s="11"/>
      <c r="I50" s="11" t="s">
        <v>2183</v>
      </c>
      <c r="J50" s="11" t="s">
        <v>2184</v>
      </c>
      <c r="K50" s="11"/>
      <c r="L50" s="11" t="s">
        <v>70</v>
      </c>
      <c r="M50" s="11" t="s">
        <v>71</v>
      </c>
      <c r="N50" s="11" t="s">
        <v>72</v>
      </c>
      <c r="O50" s="11" t="s">
        <v>19</v>
      </c>
      <c r="P50" s="13"/>
      <c r="Q50" s="13"/>
      <c r="R50" s="13"/>
      <c r="S50" s="13"/>
      <c r="T50" s="11" t="s">
        <v>19</v>
      </c>
      <c r="U50" s="13"/>
      <c r="V50" s="13"/>
      <c r="W50" s="13"/>
      <c r="X50" s="13"/>
      <c r="Y50" s="13"/>
      <c r="Z50" s="13"/>
      <c r="AA50" s="13"/>
    </row>
    <row r="51" spans="1:27" ht="30" x14ac:dyDescent="0.25">
      <c r="A51" s="11" t="s">
        <v>2185</v>
      </c>
      <c r="B51" s="12" t="s">
        <v>2169</v>
      </c>
      <c r="C51" s="11" t="s">
        <v>2170</v>
      </c>
      <c r="D51" s="11" t="s">
        <v>2186</v>
      </c>
      <c r="E51" s="11" t="s">
        <v>2187</v>
      </c>
      <c r="F51" s="11" t="s">
        <v>66</v>
      </c>
      <c r="G51" s="11" t="s">
        <v>94</v>
      </c>
      <c r="H51" s="11"/>
      <c r="I51" s="11" t="s">
        <v>2188</v>
      </c>
      <c r="J51" s="11" t="s">
        <v>2189</v>
      </c>
      <c r="K51" s="11"/>
      <c r="L51" s="11" t="s">
        <v>70</v>
      </c>
      <c r="M51" s="11" t="s">
        <v>71</v>
      </c>
      <c r="N51" s="11" t="s">
        <v>72</v>
      </c>
      <c r="O51" s="11" t="s">
        <v>19</v>
      </c>
      <c r="P51" s="13"/>
      <c r="Q51" s="13"/>
      <c r="R51" s="13"/>
      <c r="S51" s="13"/>
      <c r="T51" s="11" t="s">
        <v>19</v>
      </c>
      <c r="U51" s="13"/>
      <c r="V51" s="13"/>
      <c r="W51" s="13"/>
      <c r="X51" s="13"/>
      <c r="Y51" s="13"/>
      <c r="Z51" s="13"/>
      <c r="AA51" s="13"/>
    </row>
    <row r="52" spans="1:27" ht="60" x14ac:dyDescent="0.25">
      <c r="A52" s="11" t="s">
        <v>2190</v>
      </c>
      <c r="B52" s="12" t="s">
        <v>2169</v>
      </c>
      <c r="C52" s="11" t="s">
        <v>2170</v>
      </c>
      <c r="D52" s="11" t="s">
        <v>2191</v>
      </c>
      <c r="E52" s="11" t="s">
        <v>2192</v>
      </c>
      <c r="F52" s="11" t="s">
        <v>66</v>
      </c>
      <c r="G52" s="11" t="s">
        <v>75</v>
      </c>
      <c r="H52" s="11"/>
      <c r="I52" s="11" t="s">
        <v>2193</v>
      </c>
      <c r="J52" s="11" t="s">
        <v>2194</v>
      </c>
      <c r="K52" s="11"/>
      <c r="L52" s="11" t="s">
        <v>70</v>
      </c>
      <c r="M52" s="11" t="s">
        <v>71</v>
      </c>
      <c r="N52" s="11" t="s">
        <v>72</v>
      </c>
      <c r="O52" s="11" t="s">
        <v>19</v>
      </c>
      <c r="P52" s="13"/>
      <c r="Q52" s="13"/>
      <c r="R52" s="13"/>
      <c r="S52" s="13"/>
      <c r="T52" s="11" t="s">
        <v>19</v>
      </c>
      <c r="U52" s="13"/>
      <c r="V52" s="13"/>
      <c r="W52" s="13"/>
      <c r="X52" s="13"/>
      <c r="Y52" s="13"/>
      <c r="Z52" s="13"/>
      <c r="AA52" s="13"/>
    </row>
    <row r="53" spans="1:27" ht="15.75" x14ac:dyDescent="0.25">
      <c r="A53" s="53" t="s">
        <v>203</v>
      </c>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5"/>
    </row>
    <row r="54" spans="1:27" ht="60" x14ac:dyDescent="0.25">
      <c r="A54" s="11" t="s">
        <v>2195</v>
      </c>
      <c r="B54" s="12" t="s">
        <v>1994</v>
      </c>
      <c r="C54" s="11" t="s">
        <v>2046</v>
      </c>
      <c r="D54" s="11" t="s">
        <v>2196</v>
      </c>
      <c r="E54" s="11" t="s">
        <v>2197</v>
      </c>
      <c r="F54" s="11" t="s">
        <v>206</v>
      </c>
      <c r="G54" s="11" t="s">
        <v>67</v>
      </c>
      <c r="H54" s="11"/>
      <c r="I54" s="11" t="s">
        <v>2198</v>
      </c>
      <c r="J54" s="11" t="s">
        <v>2199</v>
      </c>
      <c r="K54" s="11"/>
      <c r="L54" s="11" t="s">
        <v>70</v>
      </c>
      <c r="M54" s="11" t="s">
        <v>71</v>
      </c>
      <c r="N54" s="11" t="s">
        <v>72</v>
      </c>
      <c r="O54" s="11" t="s">
        <v>19</v>
      </c>
      <c r="P54" s="13"/>
      <c r="Q54" s="13"/>
      <c r="R54" s="13"/>
      <c r="S54" s="13"/>
      <c r="T54" s="11" t="s">
        <v>19</v>
      </c>
      <c r="U54" s="13"/>
      <c r="V54" s="13"/>
      <c r="W54" s="13"/>
      <c r="X54" s="13"/>
      <c r="Y54" s="13"/>
      <c r="Z54" s="13"/>
      <c r="AA54" s="13"/>
    </row>
    <row r="55" spans="1:27" ht="45" x14ac:dyDescent="0.25">
      <c r="A55" s="11" t="s">
        <v>2200</v>
      </c>
      <c r="B55" s="12" t="s">
        <v>1994</v>
      </c>
      <c r="C55" s="11" t="s">
        <v>2046</v>
      </c>
      <c r="D55" s="11" t="s">
        <v>2196</v>
      </c>
      <c r="E55" s="11" t="s">
        <v>2201</v>
      </c>
      <c r="F55" s="11" t="s">
        <v>206</v>
      </c>
      <c r="G55" s="11" t="s">
        <v>67</v>
      </c>
      <c r="H55" s="11"/>
      <c r="I55" s="11" t="s">
        <v>2202</v>
      </c>
      <c r="J55" s="11" t="s">
        <v>2203</v>
      </c>
      <c r="K55" s="11"/>
      <c r="L55" s="11" t="s">
        <v>70</v>
      </c>
      <c r="M55" s="11" t="s">
        <v>71</v>
      </c>
      <c r="N55" s="11" t="s">
        <v>72</v>
      </c>
      <c r="O55" s="11" t="s">
        <v>19</v>
      </c>
      <c r="P55" s="13"/>
      <c r="Q55" s="13"/>
      <c r="R55" s="13"/>
      <c r="S55" s="13"/>
      <c r="T55" s="11" t="s">
        <v>19</v>
      </c>
      <c r="U55" s="13"/>
      <c r="V55" s="13"/>
      <c r="W55" s="13"/>
      <c r="X55" s="13"/>
      <c r="Y55" s="13"/>
      <c r="Z55" s="13"/>
      <c r="AA55" s="13"/>
    </row>
    <row r="56" spans="1:27" ht="60" x14ac:dyDescent="0.25">
      <c r="A56" s="11" t="s">
        <v>2204</v>
      </c>
      <c r="B56" s="12" t="s">
        <v>1994</v>
      </c>
      <c r="C56" s="11" t="s">
        <v>2046</v>
      </c>
      <c r="D56" s="11" t="s">
        <v>2196</v>
      </c>
      <c r="E56" s="11" t="s">
        <v>2205</v>
      </c>
      <c r="F56" s="11" t="s">
        <v>206</v>
      </c>
      <c r="G56" s="11" t="s">
        <v>67</v>
      </c>
      <c r="H56" s="11"/>
      <c r="I56" s="11" t="s">
        <v>2206</v>
      </c>
      <c r="J56" s="11" t="s">
        <v>2207</v>
      </c>
      <c r="K56" s="11"/>
      <c r="L56" s="11" t="s">
        <v>70</v>
      </c>
      <c r="M56" s="11" t="s">
        <v>71</v>
      </c>
      <c r="N56" s="11" t="s">
        <v>72</v>
      </c>
      <c r="O56" s="11" t="s">
        <v>19</v>
      </c>
      <c r="P56" s="13"/>
      <c r="Q56" s="13"/>
      <c r="R56" s="13"/>
      <c r="S56" s="13"/>
      <c r="T56" s="11" t="s">
        <v>19</v>
      </c>
      <c r="U56" s="13"/>
      <c r="V56" s="13"/>
      <c r="W56" s="13"/>
      <c r="X56" s="13"/>
      <c r="Y56" s="13"/>
      <c r="Z56" s="13"/>
      <c r="AA56" s="13"/>
    </row>
    <row r="57" spans="1:27" ht="45" x14ac:dyDescent="0.25">
      <c r="A57" s="11" t="s">
        <v>2208</v>
      </c>
      <c r="B57" s="12" t="s">
        <v>1994</v>
      </c>
      <c r="C57" s="11" t="s">
        <v>2046</v>
      </c>
      <c r="D57" s="11" t="s">
        <v>2196</v>
      </c>
      <c r="E57" s="11" t="s">
        <v>2209</v>
      </c>
      <c r="F57" s="11" t="s">
        <v>206</v>
      </c>
      <c r="G57" s="11" t="s">
        <v>67</v>
      </c>
      <c r="H57" s="11"/>
      <c r="I57" s="11" t="s">
        <v>2210</v>
      </c>
      <c r="J57" s="11" t="s">
        <v>2211</v>
      </c>
      <c r="K57" s="11"/>
      <c r="L57" s="11" t="s">
        <v>70</v>
      </c>
      <c r="M57" s="11" t="s">
        <v>71</v>
      </c>
      <c r="N57" s="11" t="s">
        <v>72</v>
      </c>
      <c r="O57" s="11" t="s">
        <v>19</v>
      </c>
      <c r="P57" s="13"/>
      <c r="Q57" s="13"/>
      <c r="R57" s="13"/>
      <c r="S57" s="13"/>
      <c r="T57" s="11" t="s">
        <v>19</v>
      </c>
      <c r="U57" s="13"/>
      <c r="V57" s="13"/>
      <c r="W57" s="13"/>
      <c r="X57" s="13"/>
      <c r="Y57" s="13"/>
      <c r="Z57" s="13"/>
      <c r="AA57" s="13"/>
    </row>
    <row r="58" spans="1:27" ht="60" x14ac:dyDescent="0.25">
      <c r="A58" s="11" t="s">
        <v>2212</v>
      </c>
      <c r="B58" s="12" t="s">
        <v>1994</v>
      </c>
      <c r="C58" s="11" t="s">
        <v>2046</v>
      </c>
      <c r="D58" s="11" t="s">
        <v>2196</v>
      </c>
      <c r="E58" s="11" t="s">
        <v>2213</v>
      </c>
      <c r="F58" s="11" t="s">
        <v>206</v>
      </c>
      <c r="G58" s="11" t="s">
        <v>67</v>
      </c>
      <c r="H58" s="11"/>
      <c r="I58" s="11" t="s">
        <v>2214</v>
      </c>
      <c r="J58" s="11" t="s">
        <v>2215</v>
      </c>
      <c r="K58" s="11"/>
      <c r="L58" s="11" t="s">
        <v>70</v>
      </c>
      <c r="M58" s="11" t="s">
        <v>71</v>
      </c>
      <c r="N58" s="11" t="s">
        <v>72</v>
      </c>
      <c r="O58" s="11" t="s">
        <v>19</v>
      </c>
      <c r="P58" s="13"/>
      <c r="Q58" s="13"/>
      <c r="R58" s="13"/>
      <c r="S58" s="13"/>
      <c r="T58" s="11" t="s">
        <v>19</v>
      </c>
      <c r="U58" s="13"/>
      <c r="V58" s="13"/>
      <c r="W58" s="13"/>
      <c r="X58" s="13"/>
      <c r="Y58" s="13"/>
      <c r="Z58" s="13"/>
      <c r="AA58" s="13"/>
    </row>
    <row r="59" spans="1:27" ht="45" x14ac:dyDescent="0.25">
      <c r="A59" s="11" t="s">
        <v>2216</v>
      </c>
      <c r="B59" s="12" t="s">
        <v>1994</v>
      </c>
      <c r="C59" s="11" t="s">
        <v>2128</v>
      </c>
      <c r="D59" s="11" t="s">
        <v>2217</v>
      </c>
      <c r="E59" s="11" t="s">
        <v>2218</v>
      </c>
      <c r="F59" s="11" t="s">
        <v>206</v>
      </c>
      <c r="G59" s="11" t="s">
        <v>75</v>
      </c>
      <c r="H59" s="11"/>
      <c r="I59" s="11" t="s">
        <v>2219</v>
      </c>
      <c r="J59" s="11" t="s">
        <v>2220</v>
      </c>
      <c r="K59" s="11"/>
      <c r="L59" s="11" t="s">
        <v>70</v>
      </c>
      <c r="M59" s="11" t="s">
        <v>71</v>
      </c>
      <c r="N59" s="11" t="s">
        <v>72</v>
      </c>
      <c r="O59" s="11" t="s">
        <v>19</v>
      </c>
      <c r="P59" s="13"/>
      <c r="Q59" s="13"/>
      <c r="R59" s="13"/>
      <c r="S59" s="13"/>
      <c r="T59" s="11" t="s">
        <v>19</v>
      </c>
      <c r="U59" s="13"/>
      <c r="V59" s="13"/>
      <c r="W59" s="13"/>
      <c r="X59" s="13"/>
      <c r="Y59" s="13"/>
      <c r="Z59" s="13"/>
      <c r="AA59" s="13"/>
    </row>
    <row r="60" spans="1:27" ht="45" x14ac:dyDescent="0.25">
      <c r="A60" s="11" t="s">
        <v>2221</v>
      </c>
      <c r="B60" s="12" t="s">
        <v>1994</v>
      </c>
      <c r="C60" s="11" t="s">
        <v>2122</v>
      </c>
      <c r="D60" s="11" t="s">
        <v>2217</v>
      </c>
      <c r="E60" s="11" t="s">
        <v>2222</v>
      </c>
      <c r="F60" s="11" t="s">
        <v>206</v>
      </c>
      <c r="G60" s="11" t="s">
        <v>75</v>
      </c>
      <c r="H60" s="11"/>
      <c r="I60" s="11" t="s">
        <v>2223</v>
      </c>
      <c r="J60" s="11" t="s">
        <v>2224</v>
      </c>
      <c r="K60" s="11"/>
      <c r="L60" s="11" t="s">
        <v>70</v>
      </c>
      <c r="M60" s="11" t="s">
        <v>71</v>
      </c>
      <c r="N60" s="11" t="s">
        <v>72</v>
      </c>
      <c r="O60" s="11" t="s">
        <v>19</v>
      </c>
      <c r="P60" s="13"/>
      <c r="Q60" s="13"/>
      <c r="R60" s="13"/>
      <c r="S60" s="13"/>
      <c r="T60" s="11" t="s">
        <v>19</v>
      </c>
      <c r="U60" s="13"/>
      <c r="V60" s="13"/>
      <c r="W60" s="13"/>
      <c r="X60" s="13"/>
      <c r="Y60" s="13"/>
      <c r="Z60" s="13"/>
      <c r="AA60" s="13"/>
    </row>
    <row r="61" spans="1:27" ht="45" x14ac:dyDescent="0.25">
      <c r="A61" s="11" t="s">
        <v>2225</v>
      </c>
      <c r="B61" s="12" t="s">
        <v>2103</v>
      </c>
      <c r="C61" s="11" t="s">
        <v>2104</v>
      </c>
      <c r="D61" s="11" t="s">
        <v>2105</v>
      </c>
      <c r="E61" s="11" t="s">
        <v>2226</v>
      </c>
      <c r="F61" s="11" t="s">
        <v>206</v>
      </c>
      <c r="G61" s="11" t="s">
        <v>67</v>
      </c>
      <c r="H61" s="11"/>
      <c r="I61" s="11" t="s">
        <v>2227</v>
      </c>
      <c r="J61" s="11" t="s">
        <v>2228</v>
      </c>
      <c r="K61" s="11"/>
      <c r="L61" s="11" t="s">
        <v>70</v>
      </c>
      <c r="M61" s="11" t="s">
        <v>71</v>
      </c>
      <c r="N61" s="11" t="s">
        <v>72</v>
      </c>
      <c r="O61" s="11" t="s">
        <v>19</v>
      </c>
      <c r="P61" s="13"/>
      <c r="Q61" s="13"/>
      <c r="R61" s="13"/>
      <c r="S61" s="13"/>
      <c r="T61" s="11" t="s">
        <v>19</v>
      </c>
      <c r="U61" s="13"/>
      <c r="V61" s="13"/>
      <c r="W61" s="13"/>
      <c r="X61" s="13"/>
      <c r="Y61" s="13"/>
      <c r="Z61" s="13"/>
      <c r="AA61" s="13"/>
    </row>
    <row r="62" spans="1:27" ht="45" x14ac:dyDescent="0.25">
      <c r="A62" s="11" t="s">
        <v>2229</v>
      </c>
      <c r="B62" s="12" t="s">
        <v>2103</v>
      </c>
      <c r="C62" s="11" t="s">
        <v>2104</v>
      </c>
      <c r="D62" s="11" t="s">
        <v>2105</v>
      </c>
      <c r="E62" s="11" t="s">
        <v>2230</v>
      </c>
      <c r="F62" s="11" t="s">
        <v>206</v>
      </c>
      <c r="G62" s="11" t="s">
        <v>67</v>
      </c>
      <c r="H62" s="11"/>
      <c r="I62" s="11" t="s">
        <v>2231</v>
      </c>
      <c r="J62" s="11" t="s">
        <v>2232</v>
      </c>
      <c r="K62" s="11"/>
      <c r="L62" s="11" t="s">
        <v>70</v>
      </c>
      <c r="M62" s="11" t="s">
        <v>71</v>
      </c>
      <c r="N62" s="11" t="s">
        <v>72</v>
      </c>
      <c r="O62" s="11" t="s">
        <v>19</v>
      </c>
      <c r="P62" s="13"/>
      <c r="Q62" s="13"/>
      <c r="R62" s="13"/>
      <c r="S62" s="13"/>
      <c r="T62" s="11" t="s">
        <v>19</v>
      </c>
      <c r="U62" s="13"/>
      <c r="V62" s="13"/>
      <c r="W62" s="13"/>
      <c r="X62" s="13"/>
      <c r="Y62" s="13"/>
      <c r="Z62" s="13"/>
      <c r="AA62" s="13"/>
    </row>
    <row r="63" spans="1:27" ht="60" x14ac:dyDescent="0.25">
      <c r="A63" s="11" t="s">
        <v>2233</v>
      </c>
      <c r="B63" s="12" t="s">
        <v>2103</v>
      </c>
      <c r="C63" s="11" t="s">
        <v>2104</v>
      </c>
      <c r="D63" s="11" t="s">
        <v>2105</v>
      </c>
      <c r="E63" s="11" t="s">
        <v>2234</v>
      </c>
      <c r="F63" s="11" t="s">
        <v>206</v>
      </c>
      <c r="G63" s="11" t="s">
        <v>67</v>
      </c>
      <c r="H63" s="11"/>
      <c r="I63" s="11" t="s">
        <v>2235</v>
      </c>
      <c r="J63" s="11" t="s">
        <v>2236</v>
      </c>
      <c r="K63" s="11"/>
      <c r="L63" s="11" t="s">
        <v>70</v>
      </c>
      <c r="M63" s="11" t="s">
        <v>71</v>
      </c>
      <c r="N63" s="11" t="s">
        <v>72</v>
      </c>
      <c r="O63" s="11" t="s">
        <v>19</v>
      </c>
      <c r="P63" s="13"/>
      <c r="Q63" s="13"/>
      <c r="R63" s="13"/>
      <c r="S63" s="13"/>
      <c r="T63" s="11" t="s">
        <v>19</v>
      </c>
      <c r="U63" s="13"/>
      <c r="V63" s="13"/>
      <c r="W63" s="13"/>
      <c r="X63" s="13"/>
      <c r="Y63" s="13"/>
      <c r="Z63" s="13"/>
      <c r="AA63" s="13"/>
    </row>
    <row r="64" spans="1:27" ht="45" x14ac:dyDescent="0.25">
      <c r="A64" s="11" t="s">
        <v>2237</v>
      </c>
      <c r="B64" s="12" t="s">
        <v>2103</v>
      </c>
      <c r="C64" s="11" t="s">
        <v>2104</v>
      </c>
      <c r="D64" s="11" t="s">
        <v>2105</v>
      </c>
      <c r="E64" s="11" t="s">
        <v>2238</v>
      </c>
      <c r="F64" s="11" t="s">
        <v>206</v>
      </c>
      <c r="G64" s="11" t="s">
        <v>67</v>
      </c>
      <c r="H64" s="11"/>
      <c r="I64" s="11" t="s">
        <v>2239</v>
      </c>
      <c r="J64" s="11" t="s">
        <v>2240</v>
      </c>
      <c r="K64" s="11"/>
      <c r="L64" s="11" t="s">
        <v>70</v>
      </c>
      <c r="M64" s="11" t="s">
        <v>71</v>
      </c>
      <c r="N64" s="11" t="s">
        <v>72</v>
      </c>
      <c r="O64" s="11" t="s">
        <v>19</v>
      </c>
      <c r="P64" s="13"/>
      <c r="Q64" s="13"/>
      <c r="R64" s="13"/>
      <c r="S64" s="13"/>
      <c r="T64" s="11" t="s">
        <v>19</v>
      </c>
      <c r="U64" s="13"/>
      <c r="V64" s="13"/>
      <c r="W64" s="13"/>
      <c r="X64" s="13"/>
      <c r="Y64" s="13"/>
      <c r="Z64" s="13"/>
      <c r="AA64" s="13"/>
    </row>
    <row r="65" spans="1:27" ht="45" x14ac:dyDescent="0.25">
      <c r="A65" s="11" t="s">
        <v>2241</v>
      </c>
      <c r="B65" s="12" t="s">
        <v>2103</v>
      </c>
      <c r="C65" s="11" t="s">
        <v>2104</v>
      </c>
      <c r="D65" s="11" t="s">
        <v>2105</v>
      </c>
      <c r="E65" s="11" t="s">
        <v>2242</v>
      </c>
      <c r="F65" s="11" t="s">
        <v>206</v>
      </c>
      <c r="G65" s="11" t="s">
        <v>67</v>
      </c>
      <c r="H65" s="11"/>
      <c r="I65" s="11" t="s">
        <v>2243</v>
      </c>
      <c r="J65" s="11" t="s">
        <v>2244</v>
      </c>
      <c r="K65" s="11"/>
      <c r="L65" s="11" t="s">
        <v>70</v>
      </c>
      <c r="M65" s="11" t="s">
        <v>71</v>
      </c>
      <c r="N65" s="11" t="s">
        <v>72</v>
      </c>
      <c r="O65" s="11" t="s">
        <v>19</v>
      </c>
      <c r="P65" s="13"/>
      <c r="Q65" s="13"/>
      <c r="R65" s="13"/>
      <c r="S65" s="13"/>
      <c r="T65" s="11" t="s">
        <v>19</v>
      </c>
      <c r="U65" s="13"/>
      <c r="V65" s="13"/>
      <c r="W65" s="13"/>
      <c r="X65" s="13"/>
      <c r="Y65" s="13"/>
      <c r="Z65" s="13"/>
      <c r="AA65" s="13"/>
    </row>
    <row r="66" spans="1:27" ht="45" x14ac:dyDescent="0.25">
      <c r="A66" s="11" t="s">
        <v>2245</v>
      </c>
      <c r="B66" s="12" t="s">
        <v>2103</v>
      </c>
      <c r="C66" s="11" t="s">
        <v>2104</v>
      </c>
      <c r="D66" s="11" t="s">
        <v>2105</v>
      </c>
      <c r="E66" s="11" t="s">
        <v>2246</v>
      </c>
      <c r="F66" s="11" t="s">
        <v>587</v>
      </c>
      <c r="G66" s="11" t="s">
        <v>75</v>
      </c>
      <c r="H66" s="11"/>
      <c r="I66" s="11" t="s">
        <v>2247</v>
      </c>
      <c r="J66" s="11" t="s">
        <v>2248</v>
      </c>
      <c r="K66" s="11"/>
      <c r="L66" s="11" t="s">
        <v>70</v>
      </c>
      <c r="M66" s="11" t="s">
        <v>71</v>
      </c>
      <c r="N66" s="11" t="s">
        <v>72</v>
      </c>
      <c r="O66" s="11" t="s">
        <v>19</v>
      </c>
      <c r="P66" s="13"/>
      <c r="Q66" s="13"/>
      <c r="R66" s="13"/>
      <c r="S66" s="13"/>
      <c r="T66" s="11" t="s">
        <v>19</v>
      </c>
      <c r="U66" s="13"/>
      <c r="V66" s="13"/>
      <c r="W66" s="13"/>
      <c r="X66" s="13"/>
      <c r="Y66" s="13"/>
      <c r="Z66" s="13"/>
      <c r="AA66" s="13"/>
    </row>
    <row r="67" spans="1:27" ht="45" x14ac:dyDescent="0.25">
      <c r="A67" s="11" t="s">
        <v>2249</v>
      </c>
      <c r="B67" s="12" t="s">
        <v>2103</v>
      </c>
      <c r="C67" s="11" t="s">
        <v>2104</v>
      </c>
      <c r="D67" s="11" t="s">
        <v>2105</v>
      </c>
      <c r="E67" s="11" t="s">
        <v>2250</v>
      </c>
      <c r="F67" s="11" t="s">
        <v>587</v>
      </c>
      <c r="G67" s="11" t="s">
        <v>75</v>
      </c>
      <c r="H67" s="11"/>
      <c r="I67" s="11" t="s">
        <v>2251</v>
      </c>
      <c r="J67" s="11" t="s">
        <v>2252</v>
      </c>
      <c r="K67" s="11"/>
      <c r="L67" s="11" t="s">
        <v>70</v>
      </c>
      <c r="M67" s="11" t="s">
        <v>71</v>
      </c>
      <c r="N67" s="11" t="s">
        <v>72</v>
      </c>
      <c r="O67" s="11" t="s">
        <v>19</v>
      </c>
      <c r="P67" s="13"/>
      <c r="Q67" s="13"/>
      <c r="R67" s="13"/>
      <c r="S67" s="13"/>
      <c r="T67" s="11" t="s">
        <v>19</v>
      </c>
      <c r="U67" s="13"/>
      <c r="V67" s="13"/>
      <c r="W67" s="13"/>
      <c r="X67" s="13"/>
      <c r="Y67" s="13"/>
      <c r="Z67" s="13"/>
      <c r="AA67" s="13"/>
    </row>
    <row r="68" spans="1:27" ht="30" x14ac:dyDescent="0.25">
      <c r="A68" s="11" t="s">
        <v>2253</v>
      </c>
      <c r="B68" s="12" t="s">
        <v>2254</v>
      </c>
      <c r="C68" s="11" t="s">
        <v>2255</v>
      </c>
      <c r="D68" s="11" t="s">
        <v>2256</v>
      </c>
      <c r="E68" s="11" t="s">
        <v>2257</v>
      </c>
      <c r="F68" s="11" t="s">
        <v>206</v>
      </c>
      <c r="G68" s="11" t="s">
        <v>75</v>
      </c>
      <c r="H68" s="11"/>
      <c r="I68" s="11" t="s">
        <v>2258</v>
      </c>
      <c r="J68" s="11" t="s">
        <v>2259</v>
      </c>
      <c r="K68" s="11"/>
      <c r="L68" s="11" t="s">
        <v>70</v>
      </c>
      <c r="M68" s="11" t="s">
        <v>71</v>
      </c>
      <c r="N68" s="11" t="s">
        <v>72</v>
      </c>
      <c r="O68" s="11" t="s">
        <v>19</v>
      </c>
      <c r="P68" s="13"/>
      <c r="Q68" s="13"/>
      <c r="R68" s="13"/>
      <c r="S68" s="13"/>
      <c r="T68" s="11" t="s">
        <v>19</v>
      </c>
      <c r="U68" s="13"/>
      <c r="V68" s="13"/>
      <c r="W68" s="13"/>
      <c r="X68" s="13"/>
      <c r="Y68" s="13"/>
      <c r="Z68" s="13"/>
      <c r="AA68" s="13"/>
    </row>
    <row r="69" spans="1:27" ht="45" x14ac:dyDescent="0.25">
      <c r="A69" s="11" t="s">
        <v>2260</v>
      </c>
      <c r="B69" s="12" t="s">
        <v>2254</v>
      </c>
      <c r="C69" s="11" t="s">
        <v>2255</v>
      </c>
      <c r="D69" s="11" t="s">
        <v>2256</v>
      </c>
      <c r="E69" s="11" t="s">
        <v>1769</v>
      </c>
      <c r="F69" s="11" t="s">
        <v>206</v>
      </c>
      <c r="G69" s="11" t="s">
        <v>75</v>
      </c>
      <c r="H69" s="11"/>
      <c r="I69" s="11" t="s">
        <v>2261</v>
      </c>
      <c r="J69" s="11" t="s">
        <v>2262</v>
      </c>
      <c r="K69" s="11"/>
      <c r="L69" s="11" t="s">
        <v>70</v>
      </c>
      <c r="M69" s="11" t="s">
        <v>71</v>
      </c>
      <c r="N69" s="11" t="s">
        <v>72</v>
      </c>
      <c r="O69" s="11" t="s">
        <v>19</v>
      </c>
      <c r="P69" s="13"/>
      <c r="Q69" s="13"/>
      <c r="R69" s="13"/>
      <c r="S69" s="13"/>
      <c r="T69" s="11" t="s">
        <v>19</v>
      </c>
      <c r="U69" s="13"/>
      <c r="V69" s="13"/>
      <c r="W69" s="13"/>
      <c r="X69" s="13"/>
      <c r="Y69" s="13"/>
      <c r="Z69" s="13"/>
      <c r="AA69" s="13"/>
    </row>
    <row r="70" spans="1:27" ht="30" x14ac:dyDescent="0.25">
      <c r="A70" s="11" t="s">
        <v>2263</v>
      </c>
      <c r="B70" s="12" t="s">
        <v>2133</v>
      </c>
      <c r="C70" s="11" t="s">
        <v>2264</v>
      </c>
      <c r="D70" s="11" t="s">
        <v>2265</v>
      </c>
      <c r="E70" s="11" t="s">
        <v>2266</v>
      </c>
      <c r="F70" s="11" t="s">
        <v>206</v>
      </c>
      <c r="G70" s="11" t="s">
        <v>75</v>
      </c>
      <c r="H70" s="11"/>
      <c r="I70" s="11" t="s">
        <v>2267</v>
      </c>
      <c r="J70" s="11" t="s">
        <v>2268</v>
      </c>
      <c r="K70" s="11"/>
      <c r="L70" s="11" t="s">
        <v>70</v>
      </c>
      <c r="M70" s="11" t="s">
        <v>71</v>
      </c>
      <c r="N70" s="11" t="s">
        <v>72</v>
      </c>
      <c r="O70" s="11" t="s">
        <v>19</v>
      </c>
      <c r="P70" s="13"/>
      <c r="Q70" s="13"/>
      <c r="R70" s="13"/>
      <c r="S70" s="13"/>
      <c r="T70" s="11" t="s">
        <v>19</v>
      </c>
      <c r="U70" s="13"/>
      <c r="V70" s="13"/>
      <c r="W70" s="13"/>
      <c r="X70" s="13"/>
      <c r="Y70" s="13"/>
      <c r="Z70" s="13"/>
      <c r="AA70" s="13"/>
    </row>
    <row r="71" spans="1:27" ht="30" x14ac:dyDescent="0.25">
      <c r="A71" s="11" t="s">
        <v>2269</v>
      </c>
      <c r="B71" s="12" t="s">
        <v>2133</v>
      </c>
      <c r="C71" s="11" t="s">
        <v>2264</v>
      </c>
      <c r="D71" s="11" t="s">
        <v>2270</v>
      </c>
      <c r="E71" s="11" t="s">
        <v>2271</v>
      </c>
      <c r="F71" s="11" t="s">
        <v>206</v>
      </c>
      <c r="G71" s="11" t="s">
        <v>94</v>
      </c>
      <c r="H71" s="11"/>
      <c r="I71" s="11" t="s">
        <v>2272</v>
      </c>
      <c r="J71" s="11" t="s">
        <v>2273</v>
      </c>
      <c r="K71" s="11"/>
      <c r="L71" s="11" t="s">
        <v>70</v>
      </c>
      <c r="M71" s="11" t="s">
        <v>71</v>
      </c>
      <c r="N71" s="11" t="s">
        <v>72</v>
      </c>
      <c r="O71" s="11" t="s">
        <v>19</v>
      </c>
      <c r="P71" s="13"/>
      <c r="Q71" s="13"/>
      <c r="R71" s="13"/>
      <c r="S71" s="13"/>
      <c r="T71" s="11" t="s">
        <v>19</v>
      </c>
      <c r="U71" s="13"/>
      <c r="V71" s="13"/>
      <c r="W71" s="13"/>
      <c r="X71" s="13"/>
      <c r="Y71" s="13"/>
      <c r="Z71" s="13"/>
      <c r="AA71" s="13"/>
    </row>
    <row r="72" spans="1:27" ht="30" x14ac:dyDescent="0.25">
      <c r="A72" s="11" t="s">
        <v>2274</v>
      </c>
      <c r="B72" s="12" t="s">
        <v>2133</v>
      </c>
      <c r="C72" s="11" t="s">
        <v>2264</v>
      </c>
      <c r="D72" s="11" t="s">
        <v>2275</v>
      </c>
      <c r="E72" s="11" t="s">
        <v>2276</v>
      </c>
      <c r="F72" s="11" t="s">
        <v>206</v>
      </c>
      <c r="G72" s="11" t="s">
        <v>75</v>
      </c>
      <c r="H72" s="11"/>
      <c r="I72" s="11" t="s">
        <v>2277</v>
      </c>
      <c r="J72" s="11" t="s">
        <v>2278</v>
      </c>
      <c r="K72" s="11"/>
      <c r="L72" s="11" t="s">
        <v>70</v>
      </c>
      <c r="M72" s="11" t="s">
        <v>71</v>
      </c>
      <c r="N72" s="11" t="s">
        <v>72</v>
      </c>
      <c r="O72" s="11" t="s">
        <v>19</v>
      </c>
      <c r="P72" s="13"/>
      <c r="Q72" s="13"/>
      <c r="R72" s="13"/>
      <c r="S72" s="13"/>
      <c r="T72" s="11" t="s">
        <v>19</v>
      </c>
      <c r="U72" s="13"/>
      <c r="V72" s="13"/>
      <c r="W72" s="13"/>
      <c r="X72" s="13"/>
      <c r="Y72" s="13"/>
      <c r="Z72" s="13"/>
      <c r="AA72" s="13"/>
    </row>
    <row r="73" spans="1:27" ht="45" x14ac:dyDescent="0.25">
      <c r="A73" s="11" t="s">
        <v>2279</v>
      </c>
      <c r="B73" s="12" t="s">
        <v>2169</v>
      </c>
      <c r="C73" s="11" t="s">
        <v>2280</v>
      </c>
      <c r="D73" s="11" t="s">
        <v>2281</v>
      </c>
      <c r="E73" s="11" t="s">
        <v>2282</v>
      </c>
      <c r="F73" s="11" t="s">
        <v>206</v>
      </c>
      <c r="G73" s="11" t="s">
        <v>67</v>
      </c>
      <c r="H73" s="11"/>
      <c r="I73" s="11" t="s">
        <v>2283</v>
      </c>
      <c r="J73" s="11" t="s">
        <v>2284</v>
      </c>
      <c r="K73" s="11"/>
      <c r="L73" s="11" t="s">
        <v>70</v>
      </c>
      <c r="M73" s="11" t="s">
        <v>71</v>
      </c>
      <c r="N73" s="11" t="s">
        <v>72</v>
      </c>
      <c r="O73" s="11" t="s">
        <v>19</v>
      </c>
      <c r="P73" s="13"/>
      <c r="Q73" s="13"/>
      <c r="R73" s="13"/>
      <c r="S73" s="13"/>
      <c r="T73" s="11" t="s">
        <v>19</v>
      </c>
      <c r="U73" s="13"/>
      <c r="V73" s="13"/>
      <c r="W73" s="13"/>
      <c r="X73" s="13"/>
      <c r="Y73" s="13"/>
      <c r="Z73" s="13"/>
      <c r="AA73" s="13"/>
    </row>
    <row r="74" spans="1:27" ht="30" x14ac:dyDescent="0.25">
      <c r="A74" s="11" t="s">
        <v>2285</v>
      </c>
      <c r="B74" s="12" t="s">
        <v>2169</v>
      </c>
      <c r="C74" s="11" t="s">
        <v>2280</v>
      </c>
      <c r="D74" s="11" t="s">
        <v>2286</v>
      </c>
      <c r="E74" s="11" t="s">
        <v>2287</v>
      </c>
      <c r="F74" s="11" t="s">
        <v>587</v>
      </c>
      <c r="G74" s="11" t="s">
        <v>75</v>
      </c>
      <c r="H74" s="11"/>
      <c r="I74" s="11" t="s">
        <v>2288</v>
      </c>
      <c r="J74" s="11" t="s">
        <v>2289</v>
      </c>
      <c r="K74" s="11"/>
      <c r="L74" s="11" t="s">
        <v>70</v>
      </c>
      <c r="M74" s="11" t="s">
        <v>71</v>
      </c>
      <c r="N74" s="11" t="s">
        <v>72</v>
      </c>
      <c r="O74" s="11" t="s">
        <v>19</v>
      </c>
      <c r="P74" s="13"/>
      <c r="Q74" s="13"/>
      <c r="R74" s="13"/>
      <c r="S74" s="13"/>
      <c r="T74" s="11" t="s">
        <v>19</v>
      </c>
      <c r="U74" s="13"/>
      <c r="V74" s="13"/>
      <c r="W74" s="13"/>
      <c r="X74" s="13"/>
      <c r="Y74" s="13"/>
      <c r="Z74" s="13"/>
      <c r="AA74" s="13"/>
    </row>
    <row r="75" spans="1:27" ht="30" x14ac:dyDescent="0.25">
      <c r="A75" s="11" t="s">
        <v>2290</v>
      </c>
      <c r="B75" s="12" t="s">
        <v>2169</v>
      </c>
      <c r="C75" s="11" t="s">
        <v>2280</v>
      </c>
      <c r="D75" s="11" t="s">
        <v>2291</v>
      </c>
      <c r="E75" s="11" t="s">
        <v>2292</v>
      </c>
      <c r="F75" s="11" t="s">
        <v>206</v>
      </c>
      <c r="G75" s="11" t="s">
        <v>75</v>
      </c>
      <c r="H75" s="11"/>
      <c r="I75" s="11" t="s">
        <v>2293</v>
      </c>
      <c r="J75" s="11" t="s">
        <v>2294</v>
      </c>
      <c r="K75" s="11"/>
      <c r="L75" s="11" t="s">
        <v>70</v>
      </c>
      <c r="M75" s="11" t="s">
        <v>71</v>
      </c>
      <c r="N75" s="11" t="s">
        <v>72</v>
      </c>
      <c r="O75" s="11" t="s">
        <v>19</v>
      </c>
      <c r="P75" s="13"/>
      <c r="Q75" s="13"/>
      <c r="R75" s="13"/>
      <c r="S75" s="13"/>
      <c r="T75" s="11" t="s">
        <v>19</v>
      </c>
      <c r="U75" s="13"/>
      <c r="V75" s="13"/>
      <c r="W75" s="13"/>
      <c r="X75" s="13"/>
      <c r="Y75" s="13"/>
      <c r="Z75" s="13"/>
      <c r="AA75" s="13"/>
    </row>
    <row r="76" spans="1:27" ht="15.75" x14ac:dyDescent="0.25">
      <c r="A76" s="53" t="s">
        <v>234</v>
      </c>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5"/>
    </row>
    <row r="77" spans="1:27" ht="90" x14ac:dyDescent="0.25">
      <c r="A77" s="11" t="s">
        <v>2295</v>
      </c>
      <c r="B77" s="12" t="s">
        <v>1994</v>
      </c>
      <c r="C77" s="11" t="s">
        <v>2046</v>
      </c>
      <c r="D77" s="11" t="s">
        <v>2196</v>
      </c>
      <c r="E77" s="11" t="s">
        <v>2296</v>
      </c>
      <c r="F77" s="11" t="s">
        <v>237</v>
      </c>
      <c r="G77" s="11" t="s">
        <v>67</v>
      </c>
      <c r="H77" s="11"/>
      <c r="I77" s="11" t="s">
        <v>2297</v>
      </c>
      <c r="J77" s="11" t="s">
        <v>2298</v>
      </c>
      <c r="K77" s="11"/>
      <c r="L77" s="11" t="s">
        <v>70</v>
      </c>
      <c r="M77" s="11" t="s">
        <v>71</v>
      </c>
      <c r="N77" s="11" t="s">
        <v>72</v>
      </c>
      <c r="O77" s="11" t="s">
        <v>19</v>
      </c>
      <c r="P77" s="13"/>
      <c r="Q77" s="13"/>
      <c r="R77" s="13"/>
      <c r="S77" s="13"/>
      <c r="T77" s="11" t="s">
        <v>19</v>
      </c>
      <c r="U77" s="13"/>
      <c r="V77" s="13"/>
      <c r="W77" s="13"/>
      <c r="X77" s="13"/>
      <c r="Y77" s="13"/>
      <c r="Z77" s="13"/>
      <c r="AA77" s="13"/>
    </row>
    <row r="78" spans="1:27" ht="75" x14ac:dyDescent="0.25">
      <c r="A78" s="11" t="s">
        <v>2299</v>
      </c>
      <c r="B78" s="12" t="s">
        <v>1994</v>
      </c>
      <c r="C78" s="11" t="s">
        <v>2128</v>
      </c>
      <c r="D78" s="11" t="s">
        <v>2217</v>
      </c>
      <c r="E78" s="11" t="s">
        <v>2300</v>
      </c>
      <c r="F78" s="11" t="s">
        <v>237</v>
      </c>
      <c r="G78" s="11" t="s">
        <v>67</v>
      </c>
      <c r="H78" s="11"/>
      <c r="I78" s="11" t="s">
        <v>2301</v>
      </c>
      <c r="J78" s="11" t="s">
        <v>2302</v>
      </c>
      <c r="K78" s="11"/>
      <c r="L78" s="11" t="s">
        <v>70</v>
      </c>
      <c r="M78" s="11" t="s">
        <v>71</v>
      </c>
      <c r="N78" s="11" t="s">
        <v>72</v>
      </c>
      <c r="O78" s="11" t="s">
        <v>19</v>
      </c>
      <c r="P78" s="13"/>
      <c r="Q78" s="13"/>
      <c r="R78" s="13"/>
      <c r="S78" s="13"/>
      <c r="T78" s="11" t="s">
        <v>19</v>
      </c>
      <c r="U78" s="13"/>
      <c r="V78" s="13"/>
      <c r="W78" s="13"/>
      <c r="X78" s="13"/>
      <c r="Y78" s="13"/>
      <c r="Z78" s="13"/>
      <c r="AA78" s="13"/>
    </row>
    <row r="79" spans="1:27" ht="45" x14ac:dyDescent="0.25">
      <c r="A79" s="11" t="s">
        <v>2303</v>
      </c>
      <c r="B79" s="12" t="s">
        <v>1994</v>
      </c>
      <c r="C79" s="11" t="s">
        <v>2128</v>
      </c>
      <c r="D79" s="11" t="s">
        <v>2217</v>
      </c>
      <c r="E79" s="11" t="s">
        <v>2304</v>
      </c>
      <c r="F79" s="11" t="s">
        <v>237</v>
      </c>
      <c r="G79" s="11" t="s">
        <v>67</v>
      </c>
      <c r="H79" s="11"/>
      <c r="I79" s="11" t="s">
        <v>2305</v>
      </c>
      <c r="J79" s="11" t="s">
        <v>2306</v>
      </c>
      <c r="K79" s="11"/>
      <c r="L79" s="11" t="s">
        <v>70</v>
      </c>
      <c r="M79" s="11" t="s">
        <v>71</v>
      </c>
      <c r="N79" s="11" t="s">
        <v>72</v>
      </c>
      <c r="O79" s="11" t="s">
        <v>19</v>
      </c>
      <c r="P79" s="13"/>
      <c r="Q79" s="13"/>
      <c r="R79" s="13"/>
      <c r="S79" s="13"/>
      <c r="T79" s="11" t="s">
        <v>19</v>
      </c>
      <c r="U79" s="13"/>
      <c r="V79" s="13"/>
      <c r="W79" s="13"/>
      <c r="X79" s="13"/>
      <c r="Y79" s="13"/>
      <c r="Z79" s="13"/>
      <c r="AA79" s="13"/>
    </row>
    <row r="80" spans="1:27" ht="30" x14ac:dyDescent="0.25">
      <c r="A80" s="11" t="s">
        <v>2307</v>
      </c>
      <c r="B80" s="12" t="s">
        <v>1994</v>
      </c>
      <c r="C80" s="11" t="s">
        <v>2128</v>
      </c>
      <c r="D80" s="11" t="s">
        <v>2217</v>
      </c>
      <c r="E80" s="11" t="s">
        <v>2308</v>
      </c>
      <c r="F80" s="11" t="s">
        <v>666</v>
      </c>
      <c r="G80" s="11" t="s">
        <v>75</v>
      </c>
      <c r="H80" s="11"/>
      <c r="I80" s="11" t="s">
        <v>2309</v>
      </c>
      <c r="J80" s="11" t="s">
        <v>2310</v>
      </c>
      <c r="K80" s="11"/>
      <c r="L80" s="11" t="s">
        <v>70</v>
      </c>
      <c r="M80" s="11" t="s">
        <v>71</v>
      </c>
      <c r="N80" s="11" t="s">
        <v>72</v>
      </c>
      <c r="O80" s="11" t="s">
        <v>19</v>
      </c>
      <c r="P80" s="13"/>
      <c r="Q80" s="13"/>
      <c r="R80" s="13"/>
      <c r="S80" s="13"/>
      <c r="T80" s="11" t="s">
        <v>19</v>
      </c>
      <c r="U80" s="13"/>
      <c r="V80" s="13"/>
      <c r="W80" s="13"/>
      <c r="X80" s="13"/>
      <c r="Y80" s="13"/>
      <c r="Z80" s="13"/>
      <c r="AA80" s="13"/>
    </row>
    <row r="81" spans="1:27" ht="45" x14ac:dyDescent="0.25">
      <c r="A81" s="11" t="s">
        <v>2311</v>
      </c>
      <c r="B81" s="12" t="s">
        <v>1994</v>
      </c>
      <c r="C81" s="11" t="s">
        <v>2122</v>
      </c>
      <c r="D81" s="11" t="s">
        <v>2217</v>
      </c>
      <c r="E81" s="11" t="s">
        <v>2312</v>
      </c>
      <c r="F81" s="11" t="s">
        <v>237</v>
      </c>
      <c r="G81" s="11" t="s">
        <v>75</v>
      </c>
      <c r="H81" s="11"/>
      <c r="I81" s="11" t="s">
        <v>2313</v>
      </c>
      <c r="J81" s="11" t="s">
        <v>2314</v>
      </c>
      <c r="K81" s="11"/>
      <c r="L81" s="11" t="s">
        <v>70</v>
      </c>
      <c r="M81" s="11" t="s">
        <v>71</v>
      </c>
      <c r="N81" s="11" t="s">
        <v>72</v>
      </c>
      <c r="O81" s="11" t="s">
        <v>19</v>
      </c>
      <c r="P81" s="13"/>
      <c r="Q81" s="13"/>
      <c r="R81" s="13"/>
      <c r="S81" s="13"/>
      <c r="T81" s="11" t="s">
        <v>19</v>
      </c>
      <c r="U81" s="13"/>
      <c r="V81" s="13"/>
      <c r="W81" s="13"/>
      <c r="X81" s="13"/>
      <c r="Y81" s="13"/>
      <c r="Z81" s="13"/>
      <c r="AA81" s="13"/>
    </row>
    <row r="82" spans="1:27" ht="90" x14ac:dyDescent="0.25">
      <c r="A82" s="11" t="s">
        <v>2315</v>
      </c>
      <c r="B82" s="12" t="s">
        <v>2103</v>
      </c>
      <c r="C82" s="11" t="s">
        <v>2104</v>
      </c>
      <c r="D82" s="11" t="s">
        <v>2105</v>
      </c>
      <c r="E82" s="11" t="s">
        <v>2316</v>
      </c>
      <c r="F82" s="11" t="s">
        <v>237</v>
      </c>
      <c r="G82" s="11" t="s">
        <v>67</v>
      </c>
      <c r="H82" s="11"/>
      <c r="I82" s="11" t="s">
        <v>2317</v>
      </c>
      <c r="J82" s="11" t="s">
        <v>2318</v>
      </c>
      <c r="K82" s="11"/>
      <c r="L82" s="11" t="s">
        <v>70</v>
      </c>
      <c r="M82" s="11" t="s">
        <v>71</v>
      </c>
      <c r="N82" s="11" t="s">
        <v>72</v>
      </c>
      <c r="O82" s="11" t="s">
        <v>19</v>
      </c>
      <c r="P82" s="13"/>
      <c r="Q82" s="13"/>
      <c r="R82" s="13"/>
      <c r="S82" s="13"/>
      <c r="T82" s="11" t="s">
        <v>19</v>
      </c>
      <c r="U82" s="13"/>
      <c r="V82" s="13"/>
      <c r="W82" s="13"/>
      <c r="X82" s="13"/>
      <c r="Y82" s="13"/>
      <c r="Z82" s="13"/>
      <c r="AA82" s="13"/>
    </row>
    <row r="83" spans="1:27" ht="60" x14ac:dyDescent="0.25">
      <c r="A83" s="11" t="s">
        <v>2319</v>
      </c>
      <c r="B83" s="12" t="s">
        <v>2103</v>
      </c>
      <c r="C83" s="11" t="s">
        <v>2104</v>
      </c>
      <c r="D83" s="11" t="s">
        <v>2105</v>
      </c>
      <c r="E83" s="11" t="s">
        <v>2320</v>
      </c>
      <c r="F83" s="11" t="s">
        <v>666</v>
      </c>
      <c r="G83" s="11" t="s">
        <v>94</v>
      </c>
      <c r="H83" s="11"/>
      <c r="I83" s="11" t="s">
        <v>2321</v>
      </c>
      <c r="J83" s="11" t="s">
        <v>2322</v>
      </c>
      <c r="K83" s="11"/>
      <c r="L83" s="11" t="s">
        <v>70</v>
      </c>
      <c r="M83" s="11" t="s">
        <v>71</v>
      </c>
      <c r="N83" s="11" t="s">
        <v>72</v>
      </c>
      <c r="O83" s="11" t="s">
        <v>19</v>
      </c>
      <c r="P83" s="13"/>
      <c r="Q83" s="13"/>
      <c r="R83" s="13"/>
      <c r="S83" s="13"/>
      <c r="T83" s="11" t="s">
        <v>19</v>
      </c>
      <c r="U83" s="13"/>
      <c r="V83" s="13"/>
      <c r="W83" s="13"/>
      <c r="X83" s="13"/>
      <c r="Y83" s="13"/>
      <c r="Z83" s="13"/>
      <c r="AA83" s="13"/>
    </row>
    <row r="84" spans="1:27" ht="45" x14ac:dyDescent="0.25">
      <c r="A84" s="11" t="s">
        <v>2323</v>
      </c>
      <c r="B84" s="12" t="s">
        <v>2103</v>
      </c>
      <c r="C84" s="11" t="s">
        <v>2122</v>
      </c>
      <c r="D84" s="11" t="s">
        <v>2123</v>
      </c>
      <c r="E84" s="11" t="s">
        <v>2324</v>
      </c>
      <c r="F84" s="11" t="s">
        <v>237</v>
      </c>
      <c r="G84" s="11" t="s">
        <v>67</v>
      </c>
      <c r="H84" s="11"/>
      <c r="I84" s="11" t="s">
        <v>2325</v>
      </c>
      <c r="J84" s="11" t="s">
        <v>2326</v>
      </c>
      <c r="K84" s="11"/>
      <c r="L84" s="11" t="s">
        <v>70</v>
      </c>
      <c r="M84" s="11" t="s">
        <v>71</v>
      </c>
      <c r="N84" s="11" t="s">
        <v>72</v>
      </c>
      <c r="O84" s="11" t="s">
        <v>19</v>
      </c>
      <c r="P84" s="13"/>
      <c r="Q84" s="13"/>
      <c r="R84" s="13"/>
      <c r="S84" s="13"/>
      <c r="T84" s="11" t="s">
        <v>19</v>
      </c>
      <c r="U84" s="13"/>
      <c r="V84" s="13"/>
      <c r="W84" s="13"/>
      <c r="X84" s="13"/>
      <c r="Y84" s="13"/>
      <c r="Z84" s="13"/>
      <c r="AA84" s="13"/>
    </row>
    <row r="85" spans="1:27" ht="45" x14ac:dyDescent="0.25">
      <c r="A85" s="11" t="s">
        <v>2327</v>
      </c>
      <c r="B85" s="12" t="s">
        <v>2103</v>
      </c>
      <c r="C85" s="11" t="s">
        <v>2128</v>
      </c>
      <c r="D85" s="11" t="s">
        <v>2129</v>
      </c>
      <c r="E85" s="11" t="s">
        <v>2328</v>
      </c>
      <c r="F85" s="11" t="s">
        <v>237</v>
      </c>
      <c r="G85" s="11" t="s">
        <v>67</v>
      </c>
      <c r="H85" s="11"/>
      <c r="I85" s="11" t="s">
        <v>2329</v>
      </c>
      <c r="J85" s="11" t="s">
        <v>2330</v>
      </c>
      <c r="K85" s="11"/>
      <c r="L85" s="11" t="s">
        <v>70</v>
      </c>
      <c r="M85" s="11" t="s">
        <v>71</v>
      </c>
      <c r="N85" s="11" t="s">
        <v>72</v>
      </c>
      <c r="O85" s="11" t="s">
        <v>19</v>
      </c>
      <c r="P85" s="13"/>
      <c r="Q85" s="13"/>
      <c r="R85" s="13"/>
      <c r="S85" s="13"/>
      <c r="T85" s="11" t="s">
        <v>19</v>
      </c>
      <c r="U85" s="13"/>
      <c r="V85" s="13"/>
      <c r="W85" s="13"/>
      <c r="X85" s="13"/>
      <c r="Y85" s="13"/>
      <c r="Z85" s="13"/>
      <c r="AA85" s="13"/>
    </row>
    <row r="86" spans="1:27" ht="75" x14ac:dyDescent="0.25">
      <c r="A86" s="11" t="s">
        <v>2331</v>
      </c>
      <c r="B86" s="12" t="s">
        <v>2254</v>
      </c>
      <c r="C86" s="11" t="s">
        <v>2255</v>
      </c>
      <c r="D86" s="11" t="s">
        <v>2256</v>
      </c>
      <c r="E86" s="11" t="s">
        <v>2332</v>
      </c>
      <c r="F86" s="11" t="s">
        <v>237</v>
      </c>
      <c r="G86" s="11" t="s">
        <v>75</v>
      </c>
      <c r="H86" s="11"/>
      <c r="I86" s="11" t="s">
        <v>2333</v>
      </c>
      <c r="J86" s="11" t="s">
        <v>2334</v>
      </c>
      <c r="K86" s="11"/>
      <c r="L86" s="11" t="s">
        <v>70</v>
      </c>
      <c r="M86" s="11" t="s">
        <v>71</v>
      </c>
      <c r="N86" s="11" t="s">
        <v>72</v>
      </c>
      <c r="O86" s="11" t="s">
        <v>19</v>
      </c>
      <c r="P86" s="13"/>
      <c r="Q86" s="13"/>
      <c r="R86" s="13"/>
      <c r="S86" s="13"/>
      <c r="T86" s="11" t="s">
        <v>19</v>
      </c>
      <c r="U86" s="13"/>
      <c r="V86" s="13"/>
      <c r="W86" s="13"/>
      <c r="X86" s="13"/>
      <c r="Y86" s="13"/>
      <c r="Z86" s="13"/>
      <c r="AA86" s="13"/>
    </row>
    <row r="87" spans="1:27" ht="60" x14ac:dyDescent="0.25">
      <c r="A87" s="11" t="s">
        <v>2335</v>
      </c>
      <c r="B87" s="12" t="s">
        <v>2336</v>
      </c>
      <c r="C87" s="11" t="s">
        <v>2337</v>
      </c>
      <c r="D87" s="11" t="s">
        <v>2338</v>
      </c>
      <c r="E87" s="11" t="s">
        <v>2339</v>
      </c>
      <c r="F87" s="11" t="s">
        <v>237</v>
      </c>
      <c r="G87" s="11" t="s">
        <v>67</v>
      </c>
      <c r="H87" s="11"/>
      <c r="I87" s="11" t="s">
        <v>2340</v>
      </c>
      <c r="J87" s="11" t="s">
        <v>2341</v>
      </c>
      <c r="K87" s="11"/>
      <c r="L87" s="11" t="s">
        <v>70</v>
      </c>
      <c r="M87" s="11" t="s">
        <v>71</v>
      </c>
      <c r="N87" s="11" t="s">
        <v>72</v>
      </c>
      <c r="O87" s="11" t="s">
        <v>19</v>
      </c>
      <c r="P87" s="13"/>
      <c r="Q87" s="13"/>
      <c r="R87" s="13"/>
      <c r="S87" s="13"/>
      <c r="T87" s="11" t="s">
        <v>19</v>
      </c>
      <c r="U87" s="13"/>
      <c r="V87" s="13"/>
      <c r="W87" s="13"/>
      <c r="X87" s="13"/>
      <c r="Y87" s="13"/>
      <c r="Z87" s="13"/>
      <c r="AA87" s="13"/>
    </row>
    <row r="88" spans="1:27" ht="45" x14ac:dyDescent="0.25">
      <c r="A88" s="11" t="s">
        <v>2342</v>
      </c>
      <c r="B88" s="12" t="s">
        <v>2336</v>
      </c>
      <c r="C88" s="11" t="s">
        <v>2337</v>
      </c>
      <c r="D88" s="11" t="s">
        <v>2338</v>
      </c>
      <c r="E88" s="11" t="s">
        <v>2343</v>
      </c>
      <c r="F88" s="11" t="s">
        <v>237</v>
      </c>
      <c r="G88" s="11" t="s">
        <v>75</v>
      </c>
      <c r="H88" s="11"/>
      <c r="I88" s="11" t="s">
        <v>2344</v>
      </c>
      <c r="J88" s="11" t="s">
        <v>2345</v>
      </c>
      <c r="K88" s="11"/>
      <c r="L88" s="11" t="s">
        <v>70</v>
      </c>
      <c r="M88" s="11" t="s">
        <v>71</v>
      </c>
      <c r="N88" s="11" t="s">
        <v>72</v>
      </c>
      <c r="O88" s="11" t="s">
        <v>19</v>
      </c>
      <c r="P88" s="13"/>
      <c r="Q88" s="13"/>
      <c r="R88" s="13"/>
      <c r="S88" s="13"/>
      <c r="T88" s="11" t="s">
        <v>19</v>
      </c>
      <c r="U88" s="13"/>
      <c r="V88" s="13"/>
      <c r="W88" s="13"/>
      <c r="X88" s="13"/>
      <c r="Y88" s="13"/>
      <c r="Z88" s="13"/>
      <c r="AA88" s="13"/>
    </row>
    <row r="89" spans="1:27" ht="45" x14ac:dyDescent="0.25">
      <c r="A89" s="11" t="s">
        <v>2346</v>
      </c>
      <c r="B89" s="12" t="s">
        <v>2336</v>
      </c>
      <c r="C89" s="11" t="s">
        <v>2337</v>
      </c>
      <c r="D89" s="11" t="s">
        <v>2338</v>
      </c>
      <c r="E89" s="11" t="s">
        <v>2347</v>
      </c>
      <c r="F89" s="11" t="s">
        <v>666</v>
      </c>
      <c r="G89" s="11" t="s">
        <v>94</v>
      </c>
      <c r="H89" s="11"/>
      <c r="I89" s="11" t="s">
        <v>2348</v>
      </c>
      <c r="J89" s="11" t="s">
        <v>2349</v>
      </c>
      <c r="K89" s="11"/>
      <c r="L89" s="11" t="s">
        <v>70</v>
      </c>
      <c r="M89" s="11" t="s">
        <v>71</v>
      </c>
      <c r="N89" s="11" t="s">
        <v>72</v>
      </c>
      <c r="O89" s="11" t="s">
        <v>19</v>
      </c>
      <c r="P89" s="13"/>
      <c r="Q89" s="13"/>
      <c r="R89" s="13"/>
      <c r="S89" s="13"/>
      <c r="T89" s="11" t="s">
        <v>19</v>
      </c>
      <c r="U89" s="13"/>
      <c r="V89" s="13"/>
      <c r="W89" s="13"/>
      <c r="X89" s="13"/>
      <c r="Y89" s="13"/>
      <c r="Z89" s="13"/>
      <c r="AA89" s="13"/>
    </row>
    <row r="90" spans="1:27" ht="60" x14ac:dyDescent="0.25">
      <c r="A90" s="11" t="s">
        <v>2350</v>
      </c>
      <c r="B90" s="12" t="s">
        <v>2336</v>
      </c>
      <c r="C90" s="11" t="s">
        <v>2351</v>
      </c>
      <c r="D90" s="11" t="s">
        <v>2352</v>
      </c>
      <c r="E90" s="11" t="s">
        <v>2353</v>
      </c>
      <c r="F90" s="11" t="s">
        <v>237</v>
      </c>
      <c r="G90" s="11" t="s">
        <v>67</v>
      </c>
      <c r="H90" s="11"/>
      <c r="I90" s="11" t="s">
        <v>2354</v>
      </c>
      <c r="J90" s="11" t="s">
        <v>2355</v>
      </c>
      <c r="K90" s="11"/>
      <c r="L90" s="11" t="s">
        <v>70</v>
      </c>
      <c r="M90" s="11" t="s">
        <v>71</v>
      </c>
      <c r="N90" s="11" t="s">
        <v>72</v>
      </c>
      <c r="O90" s="11" t="s">
        <v>19</v>
      </c>
      <c r="P90" s="13"/>
      <c r="Q90" s="13"/>
      <c r="R90" s="13"/>
      <c r="S90" s="13"/>
      <c r="T90" s="11" t="s">
        <v>19</v>
      </c>
      <c r="U90" s="13"/>
      <c r="V90" s="13"/>
      <c r="W90" s="13"/>
      <c r="X90" s="13"/>
      <c r="Y90" s="13"/>
      <c r="Z90" s="13"/>
      <c r="AA90" s="13"/>
    </row>
    <row r="91" spans="1:27" ht="60" x14ac:dyDescent="0.25">
      <c r="A91" s="11" t="s">
        <v>2356</v>
      </c>
      <c r="B91" s="12" t="s">
        <v>2336</v>
      </c>
      <c r="C91" s="11" t="s">
        <v>2351</v>
      </c>
      <c r="D91" s="11" t="s">
        <v>2352</v>
      </c>
      <c r="E91" s="11" t="s">
        <v>2357</v>
      </c>
      <c r="F91" s="11" t="s">
        <v>237</v>
      </c>
      <c r="G91" s="11" t="s">
        <v>67</v>
      </c>
      <c r="H91" s="11"/>
      <c r="I91" s="11" t="s">
        <v>2358</v>
      </c>
      <c r="J91" s="11" t="s">
        <v>2359</v>
      </c>
      <c r="K91" s="11"/>
      <c r="L91" s="11" t="s">
        <v>70</v>
      </c>
      <c r="M91" s="11" t="s">
        <v>71</v>
      </c>
      <c r="N91" s="11" t="s">
        <v>72</v>
      </c>
      <c r="O91" s="11" t="s">
        <v>19</v>
      </c>
      <c r="P91" s="13"/>
      <c r="Q91" s="13"/>
      <c r="R91" s="13"/>
      <c r="S91" s="13"/>
      <c r="T91" s="11" t="s">
        <v>19</v>
      </c>
      <c r="U91" s="13"/>
      <c r="V91" s="13"/>
      <c r="W91" s="13"/>
      <c r="X91" s="13"/>
      <c r="Y91" s="13"/>
      <c r="Z91" s="13"/>
      <c r="AA91" s="13"/>
    </row>
    <row r="92" spans="1:27" ht="45" x14ac:dyDescent="0.25">
      <c r="A92" s="11" t="s">
        <v>2360</v>
      </c>
      <c r="B92" s="12" t="s">
        <v>2133</v>
      </c>
      <c r="C92" s="11" t="s">
        <v>2361</v>
      </c>
      <c r="D92" s="11" t="s">
        <v>2362</v>
      </c>
      <c r="E92" s="11" t="s">
        <v>2363</v>
      </c>
      <c r="F92" s="11" t="s">
        <v>237</v>
      </c>
      <c r="G92" s="11" t="s">
        <v>67</v>
      </c>
      <c r="H92" s="11"/>
      <c r="I92" s="11" t="s">
        <v>2364</v>
      </c>
      <c r="J92" s="11" t="s">
        <v>2365</v>
      </c>
      <c r="K92" s="11"/>
      <c r="L92" s="11" t="s">
        <v>70</v>
      </c>
      <c r="M92" s="11" t="s">
        <v>71</v>
      </c>
      <c r="N92" s="11" t="s">
        <v>72</v>
      </c>
      <c r="O92" s="11" t="s">
        <v>19</v>
      </c>
      <c r="P92" s="13"/>
      <c r="Q92" s="13"/>
      <c r="R92" s="13"/>
      <c r="S92" s="13"/>
      <c r="T92" s="11" t="s">
        <v>19</v>
      </c>
      <c r="U92" s="13"/>
      <c r="V92" s="13"/>
      <c r="W92" s="13"/>
      <c r="X92" s="13"/>
      <c r="Y92" s="13"/>
      <c r="Z92" s="13"/>
      <c r="AA92" s="13"/>
    </row>
    <row r="93" spans="1:27" ht="30" x14ac:dyDescent="0.25">
      <c r="A93" s="11" t="s">
        <v>2366</v>
      </c>
      <c r="B93" s="12" t="s">
        <v>2133</v>
      </c>
      <c r="C93" s="11" t="s">
        <v>2361</v>
      </c>
      <c r="D93" s="11" t="s">
        <v>2367</v>
      </c>
      <c r="E93" s="11" t="s">
        <v>2368</v>
      </c>
      <c r="F93" s="11" t="s">
        <v>237</v>
      </c>
      <c r="G93" s="11" t="s">
        <v>75</v>
      </c>
      <c r="H93" s="11"/>
      <c r="I93" s="11" t="s">
        <v>2369</v>
      </c>
      <c r="J93" s="11" t="s">
        <v>2370</v>
      </c>
      <c r="K93" s="11"/>
      <c r="L93" s="11" t="s">
        <v>70</v>
      </c>
      <c r="M93" s="11" t="s">
        <v>71</v>
      </c>
      <c r="N93" s="11" t="s">
        <v>72</v>
      </c>
      <c r="O93" s="11" t="s">
        <v>19</v>
      </c>
      <c r="P93" s="13"/>
      <c r="Q93" s="13"/>
      <c r="R93" s="13"/>
      <c r="S93" s="13"/>
      <c r="T93" s="11" t="s">
        <v>19</v>
      </c>
      <c r="U93" s="13"/>
      <c r="V93" s="13"/>
      <c r="W93" s="13"/>
      <c r="X93" s="13"/>
      <c r="Y93" s="13"/>
      <c r="Z93" s="13"/>
      <c r="AA93" s="13"/>
    </row>
    <row r="94" spans="1:27" ht="30" x14ac:dyDescent="0.25">
      <c r="A94" s="11" t="s">
        <v>2371</v>
      </c>
      <c r="B94" s="12" t="s">
        <v>2133</v>
      </c>
      <c r="C94" s="11" t="s">
        <v>2361</v>
      </c>
      <c r="D94" s="11" t="s">
        <v>2372</v>
      </c>
      <c r="E94" s="11" t="s">
        <v>2373</v>
      </c>
      <c r="F94" s="11" t="s">
        <v>237</v>
      </c>
      <c r="G94" s="11" t="s">
        <v>75</v>
      </c>
      <c r="H94" s="11"/>
      <c r="I94" s="11" t="s">
        <v>2374</v>
      </c>
      <c r="J94" s="11" t="s">
        <v>2375</v>
      </c>
      <c r="K94" s="11"/>
      <c r="L94" s="11" t="s">
        <v>70</v>
      </c>
      <c r="M94" s="11" t="s">
        <v>71</v>
      </c>
      <c r="N94" s="11" t="s">
        <v>72</v>
      </c>
      <c r="O94" s="11" t="s">
        <v>19</v>
      </c>
      <c r="P94" s="13"/>
      <c r="Q94" s="13"/>
      <c r="R94" s="13"/>
      <c r="S94" s="13"/>
      <c r="T94" s="11" t="s">
        <v>19</v>
      </c>
      <c r="U94" s="13"/>
      <c r="V94" s="13"/>
      <c r="W94" s="13"/>
      <c r="X94" s="13"/>
      <c r="Y94" s="13"/>
      <c r="Z94" s="13"/>
      <c r="AA94" s="13"/>
    </row>
    <row r="95" spans="1:27" ht="30" x14ac:dyDescent="0.25">
      <c r="A95" s="11" t="s">
        <v>2376</v>
      </c>
      <c r="B95" s="12" t="s">
        <v>2133</v>
      </c>
      <c r="C95" s="11" t="s">
        <v>2361</v>
      </c>
      <c r="D95" s="11" t="s">
        <v>2377</v>
      </c>
      <c r="E95" s="11" t="s">
        <v>2378</v>
      </c>
      <c r="F95" s="11" t="s">
        <v>237</v>
      </c>
      <c r="G95" s="11" t="s">
        <v>75</v>
      </c>
      <c r="H95" s="11"/>
      <c r="I95" s="11" t="s">
        <v>2379</v>
      </c>
      <c r="J95" s="11" t="s">
        <v>2380</v>
      </c>
      <c r="K95" s="11"/>
      <c r="L95" s="11" t="s">
        <v>70</v>
      </c>
      <c r="M95" s="11" t="s">
        <v>71</v>
      </c>
      <c r="N95" s="11" t="s">
        <v>72</v>
      </c>
      <c r="O95" s="11" t="s">
        <v>19</v>
      </c>
      <c r="P95" s="13"/>
      <c r="Q95" s="13"/>
      <c r="R95" s="13"/>
      <c r="S95" s="13"/>
      <c r="T95" s="11" t="s">
        <v>19</v>
      </c>
      <c r="U95" s="13"/>
      <c r="V95" s="13"/>
      <c r="W95" s="13"/>
      <c r="X95" s="13"/>
      <c r="Y95" s="13"/>
      <c r="Z95" s="13"/>
      <c r="AA95" s="13"/>
    </row>
    <row r="96" spans="1:27" ht="45" x14ac:dyDescent="0.25">
      <c r="A96" s="11" t="s">
        <v>2381</v>
      </c>
      <c r="B96" s="12" t="s">
        <v>2133</v>
      </c>
      <c r="C96" s="11" t="s">
        <v>2361</v>
      </c>
      <c r="D96" s="11" t="s">
        <v>2382</v>
      </c>
      <c r="E96" s="11" t="s">
        <v>2383</v>
      </c>
      <c r="F96" s="11" t="s">
        <v>237</v>
      </c>
      <c r="G96" s="11" t="s">
        <v>94</v>
      </c>
      <c r="H96" s="11"/>
      <c r="I96" s="11" t="s">
        <v>2137</v>
      </c>
      <c r="J96" s="11" t="s">
        <v>2384</v>
      </c>
      <c r="K96" s="11"/>
      <c r="L96" s="11" t="s">
        <v>70</v>
      </c>
      <c r="M96" s="11" t="s">
        <v>71</v>
      </c>
      <c r="N96" s="11" t="s">
        <v>72</v>
      </c>
      <c r="O96" s="11" t="s">
        <v>19</v>
      </c>
      <c r="P96" s="13"/>
      <c r="Q96" s="13"/>
      <c r="R96" s="13"/>
      <c r="S96" s="13"/>
      <c r="T96" s="11" t="s">
        <v>19</v>
      </c>
      <c r="U96" s="13"/>
      <c r="V96" s="13"/>
      <c r="W96" s="13"/>
      <c r="X96" s="13"/>
      <c r="Y96" s="13"/>
      <c r="Z96" s="13"/>
      <c r="AA96" s="13"/>
    </row>
    <row r="97" spans="1:27" ht="45" x14ac:dyDescent="0.25">
      <c r="A97" s="11" t="s">
        <v>2385</v>
      </c>
      <c r="B97" s="12" t="s">
        <v>2169</v>
      </c>
      <c r="C97" s="11" t="s">
        <v>2386</v>
      </c>
      <c r="D97" s="11" t="s">
        <v>2387</v>
      </c>
      <c r="E97" s="11" t="s">
        <v>2388</v>
      </c>
      <c r="F97" s="11" t="s">
        <v>237</v>
      </c>
      <c r="G97" s="11" t="s">
        <v>67</v>
      </c>
      <c r="H97" s="11"/>
      <c r="I97" s="11" t="s">
        <v>2389</v>
      </c>
      <c r="J97" s="11" t="s">
        <v>2390</v>
      </c>
      <c r="K97" s="11"/>
      <c r="L97" s="11" t="s">
        <v>70</v>
      </c>
      <c r="M97" s="11" t="s">
        <v>71</v>
      </c>
      <c r="N97" s="11" t="s">
        <v>72</v>
      </c>
      <c r="O97" s="11" t="s">
        <v>19</v>
      </c>
      <c r="P97" s="13"/>
      <c r="Q97" s="13"/>
      <c r="R97" s="13"/>
      <c r="S97" s="13"/>
      <c r="T97" s="11" t="s">
        <v>19</v>
      </c>
      <c r="U97" s="13"/>
      <c r="V97" s="13"/>
      <c r="W97" s="13"/>
      <c r="X97" s="13"/>
      <c r="Y97" s="13"/>
      <c r="Z97" s="13"/>
      <c r="AA97" s="13"/>
    </row>
    <row r="98" spans="1:27" ht="45" x14ac:dyDescent="0.25">
      <c r="A98" s="11" t="s">
        <v>2391</v>
      </c>
      <c r="B98" s="12" t="s">
        <v>2169</v>
      </c>
      <c r="C98" s="11" t="s">
        <v>2386</v>
      </c>
      <c r="D98" s="11" t="s">
        <v>2392</v>
      </c>
      <c r="E98" s="11" t="s">
        <v>2393</v>
      </c>
      <c r="F98" s="11" t="s">
        <v>237</v>
      </c>
      <c r="G98" s="11" t="s">
        <v>67</v>
      </c>
      <c r="H98" s="11"/>
      <c r="I98" s="11" t="s">
        <v>2394</v>
      </c>
      <c r="J98" s="11" t="s">
        <v>2395</v>
      </c>
      <c r="K98" s="11"/>
      <c r="L98" s="11" t="s">
        <v>70</v>
      </c>
      <c r="M98" s="11" t="s">
        <v>71</v>
      </c>
      <c r="N98" s="11" t="s">
        <v>72</v>
      </c>
      <c r="O98" s="11" t="s">
        <v>19</v>
      </c>
      <c r="P98" s="13"/>
      <c r="Q98" s="13"/>
      <c r="R98" s="13"/>
      <c r="S98" s="13"/>
      <c r="T98" s="11" t="s">
        <v>19</v>
      </c>
      <c r="U98" s="13"/>
      <c r="V98" s="13"/>
      <c r="W98" s="13"/>
      <c r="X98" s="13"/>
      <c r="Y98" s="13"/>
      <c r="Z98" s="13"/>
      <c r="AA98" s="13"/>
    </row>
    <row r="99" spans="1:27" ht="45" x14ac:dyDescent="0.25">
      <c r="A99" s="11" t="s">
        <v>2396</v>
      </c>
      <c r="B99" s="12" t="s">
        <v>2169</v>
      </c>
      <c r="C99" s="11" t="s">
        <v>2386</v>
      </c>
      <c r="D99" s="11" t="s">
        <v>2397</v>
      </c>
      <c r="E99" s="11" t="s">
        <v>2398</v>
      </c>
      <c r="F99" s="11" t="s">
        <v>237</v>
      </c>
      <c r="G99" s="11" t="s">
        <v>75</v>
      </c>
      <c r="H99" s="11"/>
      <c r="I99" s="11" t="s">
        <v>2399</v>
      </c>
      <c r="J99" s="11" t="s">
        <v>2400</v>
      </c>
      <c r="K99" s="11"/>
      <c r="L99" s="11" t="s">
        <v>70</v>
      </c>
      <c r="M99" s="11" t="s">
        <v>71</v>
      </c>
      <c r="N99" s="11" t="s">
        <v>72</v>
      </c>
      <c r="O99" s="11" t="s">
        <v>19</v>
      </c>
      <c r="P99" s="13"/>
      <c r="Q99" s="13"/>
      <c r="R99" s="13"/>
      <c r="S99" s="13"/>
      <c r="T99" s="11" t="s">
        <v>19</v>
      </c>
      <c r="U99" s="13"/>
      <c r="V99" s="13"/>
      <c r="W99" s="13"/>
      <c r="X99" s="13"/>
      <c r="Y99" s="13"/>
      <c r="Z99" s="13"/>
      <c r="AA99" s="13"/>
    </row>
    <row r="100" spans="1:27" ht="30" x14ac:dyDescent="0.25">
      <c r="A100" s="11" t="s">
        <v>2401</v>
      </c>
      <c r="B100" s="12" t="s">
        <v>2169</v>
      </c>
      <c r="C100" s="11" t="s">
        <v>2386</v>
      </c>
      <c r="D100" s="11" t="s">
        <v>2402</v>
      </c>
      <c r="E100" s="11" t="s">
        <v>2403</v>
      </c>
      <c r="F100" s="11" t="s">
        <v>237</v>
      </c>
      <c r="G100" s="11" t="s">
        <v>75</v>
      </c>
      <c r="H100" s="11"/>
      <c r="I100" s="11" t="s">
        <v>2404</v>
      </c>
      <c r="J100" s="11" t="s">
        <v>2405</v>
      </c>
      <c r="K100" s="11"/>
      <c r="L100" s="11" t="s">
        <v>70</v>
      </c>
      <c r="M100" s="11" t="s">
        <v>71</v>
      </c>
      <c r="N100" s="11" t="s">
        <v>72</v>
      </c>
      <c r="O100" s="11" t="s">
        <v>19</v>
      </c>
      <c r="P100" s="13"/>
      <c r="Q100" s="13"/>
      <c r="R100" s="13"/>
      <c r="S100" s="13"/>
      <c r="T100" s="11" t="s">
        <v>19</v>
      </c>
      <c r="U100" s="13"/>
      <c r="V100" s="13"/>
      <c r="W100" s="13"/>
      <c r="X100" s="13"/>
      <c r="Y100" s="13"/>
      <c r="Z100" s="13"/>
      <c r="AA100" s="13"/>
    </row>
    <row r="101" spans="1:27" ht="30" x14ac:dyDescent="0.25">
      <c r="A101" s="11" t="s">
        <v>2406</v>
      </c>
      <c r="B101" s="12" t="s">
        <v>2169</v>
      </c>
      <c r="C101" s="11" t="s">
        <v>2386</v>
      </c>
      <c r="D101" s="11" t="s">
        <v>2407</v>
      </c>
      <c r="E101" s="11" t="s">
        <v>2408</v>
      </c>
      <c r="F101" s="11" t="s">
        <v>237</v>
      </c>
      <c r="G101" s="11" t="s">
        <v>67</v>
      </c>
      <c r="H101" s="11"/>
      <c r="I101" s="11" t="s">
        <v>2409</v>
      </c>
      <c r="J101" s="11" t="s">
        <v>2410</v>
      </c>
      <c r="K101" s="11"/>
      <c r="L101" s="11" t="s">
        <v>70</v>
      </c>
      <c r="M101" s="11" t="s">
        <v>71</v>
      </c>
      <c r="N101" s="11" t="s">
        <v>72</v>
      </c>
      <c r="O101" s="11" t="s">
        <v>19</v>
      </c>
      <c r="P101" s="13"/>
      <c r="Q101" s="13"/>
      <c r="R101" s="13"/>
      <c r="S101" s="13"/>
      <c r="T101" s="11" t="s">
        <v>19</v>
      </c>
      <c r="U101" s="13"/>
      <c r="V101" s="13"/>
      <c r="W101" s="13"/>
      <c r="X101" s="13"/>
      <c r="Y101" s="13"/>
      <c r="Z101" s="13"/>
      <c r="AA101" s="13"/>
    </row>
    <row r="102" spans="1:27" ht="30" x14ac:dyDescent="0.25">
      <c r="A102" s="11" t="s">
        <v>2411</v>
      </c>
      <c r="B102" s="12" t="s">
        <v>2169</v>
      </c>
      <c r="C102" s="11" t="s">
        <v>2386</v>
      </c>
      <c r="D102" s="11" t="s">
        <v>2412</v>
      </c>
      <c r="E102" s="11" t="s">
        <v>2413</v>
      </c>
      <c r="F102" s="11" t="s">
        <v>237</v>
      </c>
      <c r="G102" s="11" t="s">
        <v>94</v>
      </c>
      <c r="H102" s="11"/>
      <c r="I102" s="11" t="s">
        <v>2414</v>
      </c>
      <c r="J102" s="11" t="s">
        <v>2415</v>
      </c>
      <c r="K102" s="11"/>
      <c r="L102" s="11" t="s">
        <v>70</v>
      </c>
      <c r="M102" s="11" t="s">
        <v>71</v>
      </c>
      <c r="N102" s="11" t="s">
        <v>72</v>
      </c>
      <c r="O102" s="11" t="s">
        <v>19</v>
      </c>
      <c r="P102" s="13"/>
      <c r="Q102" s="13"/>
      <c r="R102" s="13"/>
      <c r="S102" s="13"/>
      <c r="T102" s="11" t="s">
        <v>19</v>
      </c>
      <c r="U102" s="13"/>
      <c r="V102" s="13"/>
      <c r="W102" s="13"/>
      <c r="X102" s="13"/>
      <c r="Y102" s="13"/>
      <c r="Z102" s="13"/>
      <c r="AA102" s="13"/>
    </row>
    <row r="103" spans="1:27" ht="45" x14ac:dyDescent="0.25">
      <c r="A103" s="11" t="s">
        <v>2416</v>
      </c>
      <c r="B103" s="12" t="s">
        <v>2169</v>
      </c>
      <c r="C103" s="11" t="s">
        <v>2386</v>
      </c>
      <c r="D103" s="11" t="s">
        <v>2417</v>
      </c>
      <c r="E103" s="11" t="s">
        <v>2418</v>
      </c>
      <c r="F103" s="11" t="s">
        <v>237</v>
      </c>
      <c r="G103" s="11" t="s">
        <v>94</v>
      </c>
      <c r="H103" s="11"/>
      <c r="I103" s="11" t="s">
        <v>2419</v>
      </c>
      <c r="J103" s="11" t="s">
        <v>2420</v>
      </c>
      <c r="K103" s="11"/>
      <c r="L103" s="11" t="s">
        <v>70</v>
      </c>
      <c r="M103" s="11" t="s">
        <v>71</v>
      </c>
      <c r="N103" s="11" t="s">
        <v>72</v>
      </c>
      <c r="O103" s="11" t="s">
        <v>19</v>
      </c>
      <c r="P103" s="13"/>
      <c r="Q103" s="13"/>
      <c r="R103" s="13"/>
      <c r="S103" s="13"/>
      <c r="T103" s="11" t="s">
        <v>19</v>
      </c>
      <c r="U103" s="13"/>
      <c r="V103" s="13"/>
      <c r="W103" s="13"/>
      <c r="X103" s="13"/>
      <c r="Y103" s="13"/>
      <c r="Z103" s="13"/>
      <c r="AA103" s="13"/>
    </row>
    <row r="104" spans="1:27" ht="15.75" x14ac:dyDescent="0.25">
      <c r="A104" s="53" t="s">
        <v>303</v>
      </c>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5"/>
    </row>
    <row r="105" spans="1:27" ht="45" x14ac:dyDescent="0.25">
      <c r="A105" s="11" t="s">
        <v>2421</v>
      </c>
      <c r="B105" s="12" t="s">
        <v>1994</v>
      </c>
      <c r="C105" s="11" t="s">
        <v>2046</v>
      </c>
      <c r="D105" s="11" t="s">
        <v>2422</v>
      </c>
      <c r="E105" s="11" t="s">
        <v>2423</v>
      </c>
      <c r="F105" s="11" t="s">
        <v>206</v>
      </c>
      <c r="G105" s="11" t="s">
        <v>67</v>
      </c>
      <c r="H105" s="11"/>
      <c r="I105" s="11" t="s">
        <v>2424</v>
      </c>
      <c r="J105" s="11" t="s">
        <v>2425</v>
      </c>
      <c r="K105" s="11"/>
      <c r="L105" s="11" t="s">
        <v>70</v>
      </c>
      <c r="M105" s="11" t="s">
        <v>71</v>
      </c>
      <c r="N105" s="11" t="s">
        <v>72</v>
      </c>
      <c r="O105" s="11" t="s">
        <v>19</v>
      </c>
      <c r="P105" s="13"/>
      <c r="Q105" s="13"/>
      <c r="R105" s="13"/>
      <c r="S105" s="13"/>
      <c r="T105" s="11" t="s">
        <v>19</v>
      </c>
      <c r="U105" s="13"/>
      <c r="V105" s="13"/>
      <c r="W105" s="13"/>
      <c r="X105" s="13"/>
      <c r="Y105" s="13"/>
      <c r="Z105" s="13"/>
      <c r="AA105" s="13"/>
    </row>
    <row r="106" spans="1:27" ht="45" x14ac:dyDescent="0.25">
      <c r="A106" s="11" t="s">
        <v>2426</v>
      </c>
      <c r="B106" s="12" t="s">
        <v>1994</v>
      </c>
      <c r="C106" s="11" t="s">
        <v>2046</v>
      </c>
      <c r="D106" s="11" t="s">
        <v>2422</v>
      </c>
      <c r="E106" s="11" t="s">
        <v>2427</v>
      </c>
      <c r="F106" s="11" t="s">
        <v>206</v>
      </c>
      <c r="G106" s="11" t="s">
        <v>75</v>
      </c>
      <c r="H106" s="11"/>
      <c r="I106" s="11" t="s">
        <v>2428</v>
      </c>
      <c r="J106" s="11" t="s">
        <v>2429</v>
      </c>
      <c r="K106" s="11"/>
      <c r="L106" s="11" t="s">
        <v>70</v>
      </c>
      <c r="M106" s="11" t="s">
        <v>71</v>
      </c>
      <c r="N106" s="11" t="s">
        <v>72</v>
      </c>
      <c r="O106" s="11" t="s">
        <v>19</v>
      </c>
      <c r="P106" s="13"/>
      <c r="Q106" s="13"/>
      <c r="R106" s="13"/>
      <c r="S106" s="13"/>
      <c r="T106" s="11" t="s">
        <v>19</v>
      </c>
      <c r="U106" s="13"/>
      <c r="V106" s="13"/>
      <c r="W106" s="13"/>
      <c r="X106" s="13"/>
      <c r="Y106" s="13"/>
      <c r="Z106" s="13"/>
      <c r="AA106" s="13"/>
    </row>
    <row r="107" spans="1:27" ht="75" x14ac:dyDescent="0.25">
      <c r="A107" s="11" t="s">
        <v>2430</v>
      </c>
      <c r="B107" s="12" t="s">
        <v>1994</v>
      </c>
      <c r="C107" s="11" t="s">
        <v>2046</v>
      </c>
      <c r="D107" s="11" t="s">
        <v>2422</v>
      </c>
      <c r="E107" s="11" t="s">
        <v>2431</v>
      </c>
      <c r="F107" s="11" t="s">
        <v>237</v>
      </c>
      <c r="G107" s="11" t="s">
        <v>75</v>
      </c>
      <c r="H107" s="11"/>
      <c r="I107" s="11" t="s">
        <v>2432</v>
      </c>
      <c r="J107" s="11" t="s">
        <v>2433</v>
      </c>
      <c r="K107" s="11"/>
      <c r="L107" s="11" t="s">
        <v>70</v>
      </c>
      <c r="M107" s="11" t="s">
        <v>71</v>
      </c>
      <c r="N107" s="11" t="s">
        <v>72</v>
      </c>
      <c r="O107" s="11" t="s">
        <v>19</v>
      </c>
      <c r="P107" s="13"/>
      <c r="Q107" s="13"/>
      <c r="R107" s="13"/>
      <c r="S107" s="13"/>
      <c r="T107" s="11" t="s">
        <v>19</v>
      </c>
      <c r="U107" s="13"/>
      <c r="V107" s="13"/>
      <c r="W107" s="13"/>
      <c r="X107" s="13"/>
      <c r="Y107" s="13"/>
      <c r="Z107" s="13"/>
      <c r="AA107" s="13"/>
    </row>
    <row r="108" spans="1:27" ht="45" x14ac:dyDescent="0.25">
      <c r="A108" s="11" t="s">
        <v>2434</v>
      </c>
      <c r="B108" s="12" t="s">
        <v>1994</v>
      </c>
      <c r="C108" s="11" t="s">
        <v>2046</v>
      </c>
      <c r="D108" s="11" t="s">
        <v>2422</v>
      </c>
      <c r="E108" s="11" t="s">
        <v>2435</v>
      </c>
      <c r="F108" s="11" t="s">
        <v>587</v>
      </c>
      <c r="G108" s="11" t="s">
        <v>75</v>
      </c>
      <c r="H108" s="11"/>
      <c r="I108" s="11" t="s">
        <v>2436</v>
      </c>
      <c r="J108" s="11" t="s">
        <v>2437</v>
      </c>
      <c r="K108" s="11"/>
      <c r="L108" s="11" t="s">
        <v>70</v>
      </c>
      <c r="M108" s="11" t="s">
        <v>71</v>
      </c>
      <c r="N108" s="11" t="s">
        <v>72</v>
      </c>
      <c r="O108" s="11" t="s">
        <v>19</v>
      </c>
      <c r="P108" s="13"/>
      <c r="Q108" s="13"/>
      <c r="R108" s="13"/>
      <c r="S108" s="13"/>
      <c r="T108" s="11" t="s">
        <v>19</v>
      </c>
      <c r="U108" s="13"/>
      <c r="V108" s="13"/>
      <c r="W108" s="13"/>
      <c r="X108" s="13"/>
      <c r="Y108" s="13"/>
      <c r="Z108" s="13"/>
      <c r="AA108" s="13"/>
    </row>
    <row r="109" spans="1:27" ht="60" x14ac:dyDescent="0.25">
      <c r="A109" s="11" t="s">
        <v>2438</v>
      </c>
      <c r="B109" s="12" t="s">
        <v>1994</v>
      </c>
      <c r="C109" s="11" t="s">
        <v>2046</v>
      </c>
      <c r="D109" s="11" t="s">
        <v>2422</v>
      </c>
      <c r="E109" s="11" t="s">
        <v>2439</v>
      </c>
      <c r="F109" s="11" t="s">
        <v>666</v>
      </c>
      <c r="G109" s="11" t="s">
        <v>75</v>
      </c>
      <c r="H109" s="11"/>
      <c r="I109" s="11" t="s">
        <v>2440</v>
      </c>
      <c r="J109" s="11" t="s">
        <v>2441</v>
      </c>
      <c r="K109" s="11"/>
      <c r="L109" s="11" t="s">
        <v>70</v>
      </c>
      <c r="M109" s="11" t="s">
        <v>71</v>
      </c>
      <c r="N109" s="11" t="s">
        <v>72</v>
      </c>
      <c r="O109" s="11" t="s">
        <v>19</v>
      </c>
      <c r="P109" s="13"/>
      <c r="Q109" s="13"/>
      <c r="R109" s="13"/>
      <c r="S109" s="13"/>
      <c r="T109" s="11" t="s">
        <v>19</v>
      </c>
      <c r="U109" s="13"/>
      <c r="V109" s="13"/>
      <c r="W109" s="13"/>
      <c r="X109" s="13"/>
      <c r="Y109" s="13"/>
      <c r="Z109" s="13"/>
      <c r="AA109" s="13"/>
    </row>
    <row r="110" spans="1:27" ht="45" x14ac:dyDescent="0.25">
      <c r="A110" s="11" t="s">
        <v>2442</v>
      </c>
      <c r="B110" s="12" t="s">
        <v>1994</v>
      </c>
      <c r="C110" s="11" t="s">
        <v>2046</v>
      </c>
      <c r="D110" s="11" t="s">
        <v>2422</v>
      </c>
      <c r="E110" s="11" t="s">
        <v>2443</v>
      </c>
      <c r="F110" s="11" t="s">
        <v>206</v>
      </c>
      <c r="G110" s="11" t="s">
        <v>75</v>
      </c>
      <c r="H110" s="11"/>
      <c r="I110" s="11" t="s">
        <v>2444</v>
      </c>
      <c r="J110" s="11" t="s">
        <v>2445</v>
      </c>
      <c r="K110" s="11"/>
      <c r="L110" s="11" t="s">
        <v>70</v>
      </c>
      <c r="M110" s="11" t="s">
        <v>71</v>
      </c>
      <c r="N110" s="11" t="s">
        <v>72</v>
      </c>
      <c r="O110" s="11" t="s">
        <v>19</v>
      </c>
      <c r="P110" s="13"/>
      <c r="Q110" s="13"/>
      <c r="R110" s="13"/>
      <c r="S110" s="13"/>
      <c r="T110" s="11" t="s">
        <v>19</v>
      </c>
      <c r="U110" s="13"/>
      <c r="V110" s="13"/>
      <c r="W110" s="13"/>
      <c r="X110" s="13"/>
      <c r="Y110" s="13"/>
      <c r="Z110" s="13"/>
      <c r="AA110" s="13"/>
    </row>
    <row r="111" spans="1:27" ht="60" x14ac:dyDescent="0.25">
      <c r="A111" s="11" t="s">
        <v>2446</v>
      </c>
      <c r="B111" s="12" t="s">
        <v>1994</v>
      </c>
      <c r="C111" s="11" t="s">
        <v>2046</v>
      </c>
      <c r="D111" s="11" t="s">
        <v>2422</v>
      </c>
      <c r="E111" s="11" t="s">
        <v>2447</v>
      </c>
      <c r="F111" s="11" t="s">
        <v>237</v>
      </c>
      <c r="G111" s="11" t="s">
        <v>75</v>
      </c>
      <c r="H111" s="11"/>
      <c r="I111" s="11" t="s">
        <v>2448</v>
      </c>
      <c r="J111" s="11" t="s">
        <v>2449</v>
      </c>
      <c r="K111" s="11"/>
      <c r="L111" s="11" t="s">
        <v>70</v>
      </c>
      <c r="M111" s="11" t="s">
        <v>71</v>
      </c>
      <c r="N111" s="11" t="s">
        <v>72</v>
      </c>
      <c r="O111" s="11" t="s">
        <v>19</v>
      </c>
      <c r="P111" s="13"/>
      <c r="Q111" s="13"/>
      <c r="R111" s="13"/>
      <c r="S111" s="13"/>
      <c r="T111" s="11" t="s">
        <v>19</v>
      </c>
      <c r="U111" s="13"/>
      <c r="V111" s="13"/>
      <c r="W111" s="13"/>
      <c r="X111" s="13"/>
      <c r="Y111" s="13"/>
      <c r="Z111" s="13"/>
      <c r="AA111" s="13"/>
    </row>
    <row r="112" spans="1:27" ht="45" x14ac:dyDescent="0.25">
      <c r="A112" s="11" t="s">
        <v>2450</v>
      </c>
      <c r="B112" s="12" t="s">
        <v>1994</v>
      </c>
      <c r="C112" s="11" t="s">
        <v>2046</v>
      </c>
      <c r="D112" s="11" t="s">
        <v>2422</v>
      </c>
      <c r="E112" s="11" t="s">
        <v>2451</v>
      </c>
      <c r="F112" s="11" t="s">
        <v>587</v>
      </c>
      <c r="G112" s="11" t="s">
        <v>75</v>
      </c>
      <c r="H112" s="11"/>
      <c r="I112" s="11" t="s">
        <v>2452</v>
      </c>
      <c r="J112" s="11" t="s">
        <v>2453</v>
      </c>
      <c r="K112" s="11"/>
      <c r="L112" s="11" t="s">
        <v>70</v>
      </c>
      <c r="M112" s="11" t="s">
        <v>71</v>
      </c>
      <c r="N112" s="11" t="s">
        <v>72</v>
      </c>
      <c r="O112" s="11" t="s">
        <v>19</v>
      </c>
      <c r="P112" s="13"/>
      <c r="Q112" s="13"/>
      <c r="R112" s="13"/>
      <c r="S112" s="13"/>
      <c r="T112" s="11" t="s">
        <v>19</v>
      </c>
      <c r="U112" s="13"/>
      <c r="V112" s="13"/>
      <c r="W112" s="13"/>
      <c r="X112" s="13"/>
      <c r="Y112" s="13"/>
      <c r="Z112" s="13"/>
      <c r="AA112" s="13"/>
    </row>
    <row r="113" spans="1:27" ht="45" x14ac:dyDescent="0.25">
      <c r="A113" s="11" t="s">
        <v>2454</v>
      </c>
      <c r="B113" s="12" t="s">
        <v>1994</v>
      </c>
      <c r="C113" s="11" t="s">
        <v>2046</v>
      </c>
      <c r="D113" s="11" t="s">
        <v>2422</v>
      </c>
      <c r="E113" s="11" t="s">
        <v>2455</v>
      </c>
      <c r="F113" s="11" t="s">
        <v>666</v>
      </c>
      <c r="G113" s="11" t="s">
        <v>75</v>
      </c>
      <c r="H113" s="11"/>
      <c r="I113" s="11" t="s">
        <v>2456</v>
      </c>
      <c r="J113" s="11" t="s">
        <v>2457</v>
      </c>
      <c r="K113" s="11"/>
      <c r="L113" s="11" t="s">
        <v>70</v>
      </c>
      <c r="M113" s="11" t="s">
        <v>71</v>
      </c>
      <c r="N113" s="11" t="s">
        <v>72</v>
      </c>
      <c r="O113" s="11" t="s">
        <v>19</v>
      </c>
      <c r="P113" s="13"/>
      <c r="Q113" s="13"/>
      <c r="R113" s="13"/>
      <c r="S113" s="13"/>
      <c r="T113" s="11" t="s">
        <v>19</v>
      </c>
      <c r="U113" s="13"/>
      <c r="V113" s="13"/>
      <c r="W113" s="13"/>
      <c r="X113" s="13"/>
      <c r="Y113" s="13"/>
      <c r="Z113" s="13"/>
      <c r="AA113" s="13"/>
    </row>
    <row r="114" spans="1:27" ht="45" x14ac:dyDescent="0.25">
      <c r="A114" s="11" t="s">
        <v>2458</v>
      </c>
      <c r="B114" s="12" t="s">
        <v>1994</v>
      </c>
      <c r="C114" s="11" t="s">
        <v>2046</v>
      </c>
      <c r="D114" s="11" t="s">
        <v>2422</v>
      </c>
      <c r="E114" s="11" t="s">
        <v>2459</v>
      </c>
      <c r="F114" s="11" t="s">
        <v>587</v>
      </c>
      <c r="G114" s="11" t="s">
        <v>75</v>
      </c>
      <c r="H114" s="11"/>
      <c r="I114" s="11" t="s">
        <v>2460</v>
      </c>
      <c r="J114" s="11" t="s">
        <v>2461</v>
      </c>
      <c r="K114" s="11"/>
      <c r="L114" s="11" t="s">
        <v>70</v>
      </c>
      <c r="M114" s="11" t="s">
        <v>71</v>
      </c>
      <c r="N114" s="11" t="s">
        <v>72</v>
      </c>
      <c r="O114" s="11" t="s">
        <v>19</v>
      </c>
      <c r="P114" s="13"/>
      <c r="Q114" s="13"/>
      <c r="R114" s="13"/>
      <c r="S114" s="13"/>
      <c r="T114" s="11" t="s">
        <v>19</v>
      </c>
      <c r="U114" s="13"/>
      <c r="V114" s="13"/>
      <c r="W114" s="13"/>
      <c r="X114" s="13"/>
      <c r="Y114" s="13"/>
      <c r="Z114" s="13"/>
      <c r="AA114" s="13"/>
    </row>
    <row r="115" spans="1:27" ht="45" x14ac:dyDescent="0.25">
      <c r="A115" s="11" t="s">
        <v>2462</v>
      </c>
      <c r="B115" s="12" t="s">
        <v>1994</v>
      </c>
      <c r="C115" s="11" t="s">
        <v>2046</v>
      </c>
      <c r="D115" s="11" t="s">
        <v>2422</v>
      </c>
      <c r="E115" s="11" t="s">
        <v>2463</v>
      </c>
      <c r="F115" s="11" t="s">
        <v>206</v>
      </c>
      <c r="G115" s="11" t="s">
        <v>75</v>
      </c>
      <c r="H115" s="11"/>
      <c r="I115" s="11" t="s">
        <v>2464</v>
      </c>
      <c r="J115" s="11" t="s">
        <v>2465</v>
      </c>
      <c r="K115" s="11"/>
      <c r="L115" s="11" t="s">
        <v>70</v>
      </c>
      <c r="M115" s="11" t="s">
        <v>71</v>
      </c>
      <c r="N115" s="11" t="s">
        <v>72</v>
      </c>
      <c r="O115" s="11" t="s">
        <v>19</v>
      </c>
      <c r="P115" s="13"/>
      <c r="Q115" s="13"/>
      <c r="R115" s="13"/>
      <c r="S115" s="13"/>
      <c r="T115" s="11" t="s">
        <v>19</v>
      </c>
      <c r="U115" s="13"/>
      <c r="V115" s="13"/>
      <c r="W115" s="13"/>
      <c r="X115" s="13"/>
      <c r="Y115" s="13"/>
      <c r="Z115" s="13"/>
      <c r="AA115" s="13"/>
    </row>
    <row r="116" spans="1:27" ht="60" x14ac:dyDescent="0.25">
      <c r="A116" s="11" t="s">
        <v>2466</v>
      </c>
      <c r="B116" s="12" t="s">
        <v>1994</v>
      </c>
      <c r="C116" s="11" t="s">
        <v>2046</v>
      </c>
      <c r="D116" s="11" t="s">
        <v>2422</v>
      </c>
      <c r="E116" s="11" t="s">
        <v>2467</v>
      </c>
      <c r="F116" s="11" t="s">
        <v>237</v>
      </c>
      <c r="G116" s="11" t="s">
        <v>75</v>
      </c>
      <c r="H116" s="11"/>
      <c r="I116" s="11" t="s">
        <v>2468</v>
      </c>
      <c r="J116" s="11" t="s">
        <v>2469</v>
      </c>
      <c r="K116" s="11"/>
      <c r="L116" s="11" t="s">
        <v>70</v>
      </c>
      <c r="M116" s="11" t="s">
        <v>71</v>
      </c>
      <c r="N116" s="11" t="s">
        <v>72</v>
      </c>
      <c r="O116" s="11" t="s">
        <v>19</v>
      </c>
      <c r="P116" s="13"/>
      <c r="Q116" s="13"/>
      <c r="R116" s="13"/>
      <c r="S116" s="13"/>
      <c r="T116" s="11" t="s">
        <v>19</v>
      </c>
      <c r="U116" s="13"/>
      <c r="V116" s="13"/>
      <c r="W116" s="13"/>
      <c r="X116" s="13"/>
      <c r="Y116" s="13"/>
      <c r="Z116" s="13"/>
      <c r="AA116" s="13"/>
    </row>
    <row r="117" spans="1:27" ht="60" x14ac:dyDescent="0.25">
      <c r="A117" s="11" t="s">
        <v>2470</v>
      </c>
      <c r="B117" s="12" t="s">
        <v>1994</v>
      </c>
      <c r="C117" s="11" t="s">
        <v>2046</v>
      </c>
      <c r="D117" s="11" t="s">
        <v>2422</v>
      </c>
      <c r="E117" s="11" t="s">
        <v>2471</v>
      </c>
      <c r="F117" s="11" t="s">
        <v>237</v>
      </c>
      <c r="G117" s="11" t="s">
        <v>94</v>
      </c>
      <c r="H117" s="11"/>
      <c r="I117" s="11" t="s">
        <v>2472</v>
      </c>
      <c r="J117" s="11" t="s">
        <v>2473</v>
      </c>
      <c r="K117" s="11"/>
      <c r="L117" s="11" t="s">
        <v>70</v>
      </c>
      <c r="M117" s="11" t="s">
        <v>71</v>
      </c>
      <c r="N117" s="11" t="s">
        <v>72</v>
      </c>
      <c r="O117" s="11" t="s">
        <v>19</v>
      </c>
      <c r="P117" s="13"/>
      <c r="Q117" s="13"/>
      <c r="R117" s="13"/>
      <c r="S117" s="13"/>
      <c r="T117" s="11" t="s">
        <v>19</v>
      </c>
      <c r="U117" s="13"/>
      <c r="V117" s="13"/>
      <c r="W117" s="13"/>
      <c r="X117" s="13"/>
      <c r="Y117" s="13"/>
      <c r="Z117" s="13"/>
      <c r="AA117" s="13"/>
    </row>
    <row r="118" spans="1:27" ht="45" x14ac:dyDescent="0.25">
      <c r="A118" s="11" t="s">
        <v>2474</v>
      </c>
      <c r="B118" s="12" t="s">
        <v>1994</v>
      </c>
      <c r="C118" s="11" t="s">
        <v>2046</v>
      </c>
      <c r="D118" s="11" t="s">
        <v>2422</v>
      </c>
      <c r="E118" s="11" t="s">
        <v>2475</v>
      </c>
      <c r="F118" s="11" t="s">
        <v>237</v>
      </c>
      <c r="G118" s="11" t="s">
        <v>94</v>
      </c>
      <c r="H118" s="11"/>
      <c r="I118" s="11" t="s">
        <v>2476</v>
      </c>
      <c r="J118" s="11" t="s">
        <v>2477</v>
      </c>
      <c r="K118" s="11"/>
      <c r="L118" s="11" t="s">
        <v>70</v>
      </c>
      <c r="M118" s="11" t="s">
        <v>71</v>
      </c>
      <c r="N118" s="11" t="s">
        <v>72</v>
      </c>
      <c r="O118" s="11" t="s">
        <v>19</v>
      </c>
      <c r="P118" s="13"/>
      <c r="Q118" s="13"/>
      <c r="R118" s="13"/>
      <c r="S118" s="13"/>
      <c r="T118" s="11" t="s">
        <v>19</v>
      </c>
      <c r="U118" s="13"/>
      <c r="V118" s="13"/>
      <c r="W118" s="13"/>
      <c r="X118" s="13"/>
      <c r="Y118" s="13"/>
      <c r="Z118" s="13"/>
      <c r="AA118" s="13"/>
    </row>
    <row r="119" spans="1:27" ht="60" x14ac:dyDescent="0.25">
      <c r="A119" s="11" t="s">
        <v>2478</v>
      </c>
      <c r="B119" s="12" t="s">
        <v>2103</v>
      </c>
      <c r="C119" s="11" t="s">
        <v>2104</v>
      </c>
      <c r="D119" s="11" t="s">
        <v>2105</v>
      </c>
      <c r="E119" s="11" t="s">
        <v>2479</v>
      </c>
      <c r="F119" s="11" t="s">
        <v>206</v>
      </c>
      <c r="G119" s="11" t="s">
        <v>75</v>
      </c>
      <c r="H119" s="11"/>
      <c r="I119" s="11" t="s">
        <v>2480</v>
      </c>
      <c r="J119" s="11" t="s">
        <v>2481</v>
      </c>
      <c r="K119" s="11"/>
      <c r="L119" s="11" t="s">
        <v>70</v>
      </c>
      <c r="M119" s="11" t="s">
        <v>71</v>
      </c>
      <c r="N119" s="11" t="s">
        <v>72</v>
      </c>
      <c r="O119" s="11" t="s">
        <v>19</v>
      </c>
      <c r="P119" s="13"/>
      <c r="Q119" s="13"/>
      <c r="R119" s="13"/>
      <c r="S119" s="13"/>
      <c r="T119" s="11" t="s">
        <v>19</v>
      </c>
      <c r="U119" s="13"/>
      <c r="V119" s="13"/>
      <c r="W119" s="13"/>
      <c r="X119" s="13"/>
      <c r="Y119" s="13"/>
      <c r="Z119" s="13"/>
      <c r="AA119" s="13"/>
    </row>
    <row r="120" spans="1:27" ht="105" x14ac:dyDescent="0.25">
      <c r="A120" s="11" t="s">
        <v>2482</v>
      </c>
      <c r="B120" s="12" t="s">
        <v>2254</v>
      </c>
      <c r="C120" s="11" t="s">
        <v>2483</v>
      </c>
      <c r="D120" s="11" t="s">
        <v>2484</v>
      </c>
      <c r="E120" s="11" t="s">
        <v>2485</v>
      </c>
      <c r="F120" s="11" t="s">
        <v>237</v>
      </c>
      <c r="G120" s="11" t="s">
        <v>67</v>
      </c>
      <c r="H120" s="11"/>
      <c r="I120" s="11" t="s">
        <v>2486</v>
      </c>
      <c r="J120" s="11" t="s">
        <v>2487</v>
      </c>
      <c r="K120" s="11"/>
      <c r="L120" s="11" t="s">
        <v>70</v>
      </c>
      <c r="M120" s="11" t="s">
        <v>71</v>
      </c>
      <c r="N120" s="11" t="s">
        <v>72</v>
      </c>
      <c r="O120" s="11" t="s">
        <v>19</v>
      </c>
      <c r="P120" s="13"/>
      <c r="Q120" s="13"/>
      <c r="R120" s="13"/>
      <c r="S120" s="13"/>
      <c r="T120" s="11" t="s">
        <v>19</v>
      </c>
      <c r="U120" s="13"/>
      <c r="V120" s="13"/>
      <c r="W120" s="13"/>
      <c r="X120" s="13"/>
      <c r="Y120" s="13"/>
      <c r="Z120" s="13"/>
      <c r="AA120" s="13"/>
    </row>
    <row r="121" spans="1:27" ht="45" x14ac:dyDescent="0.25">
      <c r="A121" s="11" t="s">
        <v>2488</v>
      </c>
      <c r="B121" s="12" t="s">
        <v>2254</v>
      </c>
      <c r="C121" s="11" t="s">
        <v>2483</v>
      </c>
      <c r="D121" s="11" t="s">
        <v>2484</v>
      </c>
      <c r="E121" s="11" t="s">
        <v>2489</v>
      </c>
      <c r="F121" s="11" t="s">
        <v>587</v>
      </c>
      <c r="G121" s="11" t="s">
        <v>75</v>
      </c>
      <c r="H121" s="11"/>
      <c r="I121" s="11" t="s">
        <v>2490</v>
      </c>
      <c r="J121" s="11" t="s">
        <v>2491</v>
      </c>
      <c r="K121" s="11"/>
      <c r="L121" s="11" t="s">
        <v>70</v>
      </c>
      <c r="M121" s="11" t="s">
        <v>71</v>
      </c>
      <c r="N121" s="11" t="s">
        <v>72</v>
      </c>
      <c r="O121" s="11" t="s">
        <v>19</v>
      </c>
      <c r="P121" s="13"/>
      <c r="Q121" s="13"/>
      <c r="R121" s="13"/>
      <c r="S121" s="13"/>
      <c r="T121" s="11" t="s">
        <v>19</v>
      </c>
      <c r="U121" s="13"/>
      <c r="V121" s="13"/>
      <c r="W121" s="13"/>
      <c r="X121" s="13"/>
      <c r="Y121" s="13"/>
      <c r="Z121" s="13"/>
      <c r="AA121" s="13"/>
    </row>
    <row r="122" spans="1:27" ht="30" x14ac:dyDescent="0.25">
      <c r="A122" s="11" t="s">
        <v>2492</v>
      </c>
      <c r="B122" s="12" t="s">
        <v>2254</v>
      </c>
      <c r="C122" s="11" t="s">
        <v>2483</v>
      </c>
      <c r="D122" s="11" t="s">
        <v>2484</v>
      </c>
      <c r="E122" s="11" t="s">
        <v>2493</v>
      </c>
      <c r="F122" s="11" t="s">
        <v>206</v>
      </c>
      <c r="G122" s="11" t="s">
        <v>75</v>
      </c>
      <c r="H122" s="11"/>
      <c r="I122" s="11" t="s">
        <v>2494</v>
      </c>
      <c r="J122" s="11" t="s">
        <v>2495</v>
      </c>
      <c r="K122" s="11"/>
      <c r="L122" s="11" t="s">
        <v>70</v>
      </c>
      <c r="M122" s="11" t="s">
        <v>71</v>
      </c>
      <c r="N122" s="11" t="s">
        <v>72</v>
      </c>
      <c r="O122" s="11" t="s">
        <v>19</v>
      </c>
      <c r="P122" s="13"/>
      <c r="Q122" s="13"/>
      <c r="R122" s="13"/>
      <c r="S122" s="13"/>
      <c r="T122" s="11" t="s">
        <v>19</v>
      </c>
      <c r="U122" s="13"/>
      <c r="V122" s="13"/>
      <c r="W122" s="13"/>
      <c r="X122" s="13"/>
      <c r="Y122" s="13"/>
      <c r="Z122" s="13"/>
      <c r="AA122" s="13"/>
    </row>
    <row r="123" spans="1:27" ht="45" x14ac:dyDescent="0.25">
      <c r="A123" s="11" t="s">
        <v>2496</v>
      </c>
      <c r="B123" s="12" t="s">
        <v>2254</v>
      </c>
      <c r="C123" s="11" t="s">
        <v>2483</v>
      </c>
      <c r="D123" s="11" t="s">
        <v>2484</v>
      </c>
      <c r="E123" s="11" t="s">
        <v>2497</v>
      </c>
      <c r="F123" s="11" t="s">
        <v>206</v>
      </c>
      <c r="G123" s="11" t="s">
        <v>75</v>
      </c>
      <c r="H123" s="11"/>
      <c r="I123" s="11" t="s">
        <v>2498</v>
      </c>
      <c r="J123" s="11" t="s">
        <v>2499</v>
      </c>
      <c r="K123" s="11"/>
      <c r="L123" s="11" t="s">
        <v>70</v>
      </c>
      <c r="M123" s="11" t="s">
        <v>71</v>
      </c>
      <c r="N123" s="11" t="s">
        <v>72</v>
      </c>
      <c r="O123" s="11" t="s">
        <v>19</v>
      </c>
      <c r="P123" s="13"/>
      <c r="Q123" s="13"/>
      <c r="R123" s="13"/>
      <c r="S123" s="13"/>
      <c r="T123" s="11" t="s">
        <v>19</v>
      </c>
      <c r="U123" s="13"/>
      <c r="V123" s="13"/>
      <c r="W123" s="13"/>
      <c r="X123" s="13"/>
      <c r="Y123" s="13"/>
      <c r="Z123" s="13"/>
      <c r="AA123" s="13"/>
    </row>
    <row r="124" spans="1:27" ht="30" x14ac:dyDescent="0.25">
      <c r="A124" s="11" t="s">
        <v>2500</v>
      </c>
      <c r="B124" s="12" t="s">
        <v>2133</v>
      </c>
      <c r="C124" s="11" t="s">
        <v>2501</v>
      </c>
      <c r="D124" s="11" t="s">
        <v>2502</v>
      </c>
      <c r="E124" s="11" t="s">
        <v>2503</v>
      </c>
      <c r="F124" s="11" t="s">
        <v>2504</v>
      </c>
      <c r="G124" s="11" t="s">
        <v>67</v>
      </c>
      <c r="H124" s="11"/>
      <c r="I124" s="11" t="s">
        <v>2505</v>
      </c>
      <c r="J124" s="11" t="s">
        <v>2506</v>
      </c>
      <c r="K124" s="11"/>
      <c r="L124" s="11" t="s">
        <v>70</v>
      </c>
      <c r="M124" s="11" t="s">
        <v>71</v>
      </c>
      <c r="N124" s="11" t="s">
        <v>72</v>
      </c>
      <c r="O124" s="11" t="s">
        <v>19</v>
      </c>
      <c r="P124" s="13"/>
      <c r="Q124" s="13"/>
      <c r="R124" s="13"/>
      <c r="S124" s="13"/>
      <c r="T124" s="11" t="s">
        <v>19</v>
      </c>
      <c r="U124" s="13"/>
      <c r="V124" s="13"/>
      <c r="W124" s="13"/>
      <c r="X124" s="13"/>
      <c r="Y124" s="13"/>
      <c r="Z124" s="13"/>
      <c r="AA124" s="13"/>
    </row>
    <row r="125" spans="1:27" ht="30" x14ac:dyDescent="0.25">
      <c r="A125" s="11" t="s">
        <v>2507</v>
      </c>
      <c r="B125" s="12" t="s">
        <v>2133</v>
      </c>
      <c r="C125" s="11" t="s">
        <v>2501</v>
      </c>
      <c r="D125" s="11" t="s">
        <v>2508</v>
      </c>
      <c r="E125" s="11" t="s">
        <v>2509</v>
      </c>
      <c r="F125" s="11" t="s">
        <v>2504</v>
      </c>
      <c r="G125" s="11" t="s">
        <v>75</v>
      </c>
      <c r="H125" s="11"/>
      <c r="I125" s="11" t="s">
        <v>2510</v>
      </c>
      <c r="J125" s="11" t="s">
        <v>2511</v>
      </c>
      <c r="K125" s="11"/>
      <c r="L125" s="11" t="s">
        <v>70</v>
      </c>
      <c r="M125" s="11" t="s">
        <v>71</v>
      </c>
      <c r="N125" s="11" t="s">
        <v>72</v>
      </c>
      <c r="O125" s="11" t="s">
        <v>19</v>
      </c>
      <c r="P125" s="13"/>
      <c r="Q125" s="13"/>
      <c r="R125" s="13"/>
      <c r="S125" s="13"/>
      <c r="T125" s="11" t="s">
        <v>19</v>
      </c>
      <c r="U125" s="13"/>
      <c r="V125" s="13"/>
      <c r="W125" s="13"/>
      <c r="X125" s="13"/>
      <c r="Y125" s="13"/>
      <c r="Z125" s="13"/>
      <c r="AA125" s="13"/>
    </row>
  </sheetData>
  <autoFilter ref="A1:AA1" xr:uid="{00000000-0009-0000-0000-000007000000}"/>
  <mergeCells count="4">
    <mergeCell ref="A53:AA53"/>
    <mergeCell ref="A104:AA104"/>
    <mergeCell ref="A76:AA76"/>
    <mergeCell ref="A2:AA2"/>
  </mergeCells>
  <dataValidations count="4">
    <dataValidation type="list" allowBlank="1" sqref="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9" xr:uid="{00000000-0002-0000-0700-000000000000}">
      <formula1>"Add new,Update,Delete"</formula1>
    </dataValidation>
    <dataValidation type="list" allowBlank="1"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9" xr:uid="{00000000-0002-0000-0700-000001000000}">
      <formula1>"By AI,By Manual"</formula1>
    </dataValidation>
    <dataValidation type="list" allowBlank="1" sqref="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9" xr:uid="{00000000-0002-0000-0700-000002000000}">
      <formula1>"Auto,Manual"</formula1>
    </dataValidation>
    <dataValidation type="list" allowBlank="1" sqref="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9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T201 T202 T203 T204 T205 T206 T207 T209" xr:uid="{00000000-0002-0000-0700-000003000000}">
      <formula1>"Untested,Pass,Fail,N/A"</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29"/>
  <sheetViews>
    <sheetView workbookViewId="0">
      <pane ySplit="1" topLeftCell="A2" activePane="bottomLeft" state="frozen"/>
      <selection pane="bottomLeft"/>
    </sheetView>
  </sheetViews>
  <sheetFormatPr defaultRowHeight="15" x14ac:dyDescent="0.25"/>
  <cols>
    <col min="1" max="1" width="16" customWidth="1"/>
    <col min="2" max="2" width="22" customWidth="1"/>
    <col min="3" max="3" width="12" customWidth="1"/>
    <col min="4" max="4" width="22" customWidth="1"/>
    <col min="5" max="5" width="35" customWidth="1"/>
    <col min="6" max="6" width="14" customWidth="1"/>
    <col min="7" max="7" width="10" customWidth="1"/>
    <col min="8" max="8" width="30" customWidth="1"/>
    <col min="9" max="9" width="45" customWidth="1"/>
    <col min="10" max="11" width="40" customWidth="1"/>
    <col min="12" max="12" width="12" customWidth="1"/>
    <col min="13" max="14" width="14" customWidth="1"/>
    <col min="15" max="15" width="10" customWidth="1"/>
    <col min="16" max="16" width="12" customWidth="1"/>
    <col min="17" max="17" width="10" customWidth="1"/>
    <col min="18" max="18" width="14" customWidth="1"/>
    <col min="19" max="19" width="35" customWidth="1"/>
    <col min="20" max="20" width="10" customWidth="1"/>
    <col min="21" max="21" width="12" customWidth="1"/>
    <col min="22" max="22" width="10" customWidth="1"/>
    <col min="23" max="23" width="14" customWidth="1"/>
    <col min="24" max="24" width="35" customWidth="1"/>
    <col min="25" max="25" width="30" customWidth="1"/>
    <col min="26" max="26" width="15" customWidth="1"/>
    <col min="27" max="27" width="35" customWidth="1"/>
  </cols>
  <sheetData>
    <row r="1" spans="1:27" ht="30" customHeight="1" x14ac:dyDescent="0.25">
      <c r="A1" s="8" t="s">
        <v>33</v>
      </c>
      <c r="B1" s="9" t="s">
        <v>34</v>
      </c>
      <c r="C1" s="8" t="s">
        <v>35</v>
      </c>
      <c r="D1" s="8" t="s">
        <v>36</v>
      </c>
      <c r="E1" s="8" t="s">
        <v>37</v>
      </c>
      <c r="F1" s="8" t="s">
        <v>38</v>
      </c>
      <c r="G1" s="8" t="s">
        <v>39</v>
      </c>
      <c r="H1" s="8" t="s">
        <v>40</v>
      </c>
      <c r="I1" s="8" t="s">
        <v>41</v>
      </c>
      <c r="J1" s="8" t="s">
        <v>42</v>
      </c>
      <c r="K1" s="8" t="s">
        <v>43</v>
      </c>
      <c r="L1" s="8" t="s">
        <v>44</v>
      </c>
      <c r="M1" s="8" t="s">
        <v>45</v>
      </c>
      <c r="N1" s="8" t="s">
        <v>46</v>
      </c>
      <c r="O1" s="8" t="s">
        <v>47</v>
      </c>
      <c r="P1" s="8" t="s">
        <v>48</v>
      </c>
      <c r="Q1" s="8" t="s">
        <v>49</v>
      </c>
      <c r="R1" s="8" t="s">
        <v>50</v>
      </c>
      <c r="S1" s="8" t="s">
        <v>51</v>
      </c>
      <c r="T1" s="8" t="s">
        <v>52</v>
      </c>
      <c r="U1" s="8" t="s">
        <v>53</v>
      </c>
      <c r="V1" s="8" t="s">
        <v>54</v>
      </c>
      <c r="W1" s="8" t="s">
        <v>55</v>
      </c>
      <c r="X1" s="8" t="s">
        <v>56</v>
      </c>
      <c r="Y1" s="8" t="s">
        <v>57</v>
      </c>
      <c r="Z1" s="8" t="s">
        <v>58</v>
      </c>
      <c r="AA1" s="10" t="s">
        <v>59</v>
      </c>
    </row>
    <row r="2" spans="1:27" ht="15.75" x14ac:dyDescent="0.25">
      <c r="A2" s="53" t="s">
        <v>60</v>
      </c>
      <c r="B2" s="54"/>
      <c r="C2" s="54"/>
      <c r="D2" s="54"/>
      <c r="E2" s="54"/>
      <c r="F2" s="54"/>
      <c r="G2" s="54"/>
      <c r="H2" s="54"/>
      <c r="I2" s="54"/>
      <c r="J2" s="54"/>
      <c r="K2" s="54"/>
      <c r="L2" s="54"/>
      <c r="M2" s="54"/>
      <c r="N2" s="54"/>
      <c r="O2" s="54"/>
      <c r="P2" s="54"/>
      <c r="Q2" s="54"/>
      <c r="R2" s="54"/>
      <c r="S2" s="54"/>
      <c r="T2" s="54"/>
      <c r="U2" s="54"/>
      <c r="V2" s="54"/>
      <c r="W2" s="54"/>
      <c r="X2" s="54"/>
      <c r="Y2" s="54"/>
      <c r="Z2" s="54"/>
      <c r="AA2" s="55"/>
    </row>
    <row r="3" spans="1:27" ht="60" x14ac:dyDescent="0.25">
      <c r="A3" s="11" t="s">
        <v>2512</v>
      </c>
      <c r="B3" s="12" t="s">
        <v>2513</v>
      </c>
      <c r="C3" s="11" t="s">
        <v>2514</v>
      </c>
      <c r="D3" s="11" t="s">
        <v>2515</v>
      </c>
      <c r="E3" s="11" t="s">
        <v>2516</v>
      </c>
      <c r="F3" s="11" t="s">
        <v>66</v>
      </c>
      <c r="G3" s="11" t="s">
        <v>75</v>
      </c>
      <c r="H3" s="11"/>
      <c r="I3" s="11" t="s">
        <v>2517</v>
      </c>
      <c r="J3" s="11" t="s">
        <v>2518</v>
      </c>
      <c r="K3" s="11"/>
      <c r="L3" s="11" t="s">
        <v>70</v>
      </c>
      <c r="M3" s="11" t="s">
        <v>71</v>
      </c>
      <c r="N3" s="11" t="s">
        <v>72</v>
      </c>
      <c r="O3" s="11" t="s">
        <v>19</v>
      </c>
      <c r="P3" s="13"/>
      <c r="Q3" s="13"/>
      <c r="R3" s="13"/>
      <c r="S3" s="13"/>
      <c r="T3" s="11" t="s">
        <v>19</v>
      </c>
      <c r="U3" s="13"/>
      <c r="V3" s="13"/>
      <c r="W3" s="13"/>
      <c r="X3" s="13"/>
      <c r="Y3" s="13"/>
      <c r="Z3" s="13"/>
      <c r="AA3" s="13"/>
    </row>
    <row r="4" spans="1:27" ht="45" x14ac:dyDescent="0.25">
      <c r="A4" s="11" t="s">
        <v>2519</v>
      </c>
      <c r="B4" s="12" t="s">
        <v>2513</v>
      </c>
      <c r="C4" s="11" t="s">
        <v>2514</v>
      </c>
      <c r="D4" s="11" t="s">
        <v>2520</v>
      </c>
      <c r="E4" s="11" t="s">
        <v>2521</v>
      </c>
      <c r="F4" s="11" t="s">
        <v>66</v>
      </c>
      <c r="G4" s="11" t="s">
        <v>94</v>
      </c>
      <c r="H4" s="11"/>
      <c r="I4" s="11" t="s">
        <v>2522</v>
      </c>
      <c r="J4" s="11" t="s">
        <v>2523</v>
      </c>
      <c r="K4" s="11"/>
      <c r="L4" s="11" t="s">
        <v>70</v>
      </c>
      <c r="M4" s="11" t="s">
        <v>71</v>
      </c>
      <c r="N4" s="11" t="s">
        <v>72</v>
      </c>
      <c r="O4" s="11" t="s">
        <v>19</v>
      </c>
      <c r="P4" s="13"/>
      <c r="Q4" s="13"/>
      <c r="R4" s="13"/>
      <c r="S4" s="13"/>
      <c r="T4" s="11" t="s">
        <v>19</v>
      </c>
      <c r="U4" s="13"/>
      <c r="V4" s="13"/>
      <c r="W4" s="13"/>
      <c r="X4" s="13"/>
      <c r="Y4" s="13"/>
      <c r="Z4" s="13"/>
      <c r="AA4" s="13"/>
    </row>
    <row r="5" spans="1:27" ht="45" x14ac:dyDescent="0.25">
      <c r="A5" s="11" t="s">
        <v>2524</v>
      </c>
      <c r="B5" s="12" t="s">
        <v>2513</v>
      </c>
      <c r="C5" s="11" t="s">
        <v>2514</v>
      </c>
      <c r="D5" s="11" t="s">
        <v>2525</v>
      </c>
      <c r="E5" s="11" t="s">
        <v>2526</v>
      </c>
      <c r="F5" s="11" t="s">
        <v>66</v>
      </c>
      <c r="G5" s="11" t="s">
        <v>75</v>
      </c>
      <c r="H5" s="11"/>
      <c r="I5" s="11" t="s">
        <v>2527</v>
      </c>
      <c r="J5" s="11" t="s">
        <v>2528</v>
      </c>
      <c r="K5" s="11"/>
      <c r="L5" s="11" t="s">
        <v>70</v>
      </c>
      <c r="M5" s="11" t="s">
        <v>71</v>
      </c>
      <c r="N5" s="11" t="s">
        <v>72</v>
      </c>
      <c r="O5" s="11" t="s">
        <v>19</v>
      </c>
      <c r="P5" s="13"/>
      <c r="Q5" s="13"/>
      <c r="R5" s="13"/>
      <c r="S5" s="13"/>
      <c r="T5" s="11" t="s">
        <v>19</v>
      </c>
      <c r="U5" s="13"/>
      <c r="V5" s="13"/>
      <c r="W5" s="13"/>
      <c r="X5" s="13"/>
      <c r="Y5" s="13"/>
      <c r="Z5" s="13"/>
      <c r="AA5" s="13"/>
    </row>
    <row r="6" spans="1:27" ht="30" x14ac:dyDescent="0.25">
      <c r="A6" s="11" t="s">
        <v>2529</v>
      </c>
      <c r="B6" s="12" t="s">
        <v>2513</v>
      </c>
      <c r="C6" s="11" t="s">
        <v>2514</v>
      </c>
      <c r="D6" s="11" t="s">
        <v>2530</v>
      </c>
      <c r="E6" s="11" t="s">
        <v>2531</v>
      </c>
      <c r="F6" s="11" t="s">
        <v>66</v>
      </c>
      <c r="G6" s="11" t="s">
        <v>94</v>
      </c>
      <c r="H6" s="11"/>
      <c r="I6" s="11" t="s">
        <v>2532</v>
      </c>
      <c r="J6" s="11" t="s">
        <v>2533</v>
      </c>
      <c r="K6" s="11"/>
      <c r="L6" s="11" t="s">
        <v>70</v>
      </c>
      <c r="M6" s="11" t="s">
        <v>71</v>
      </c>
      <c r="N6" s="11" t="s">
        <v>72</v>
      </c>
      <c r="O6" s="11" t="s">
        <v>19</v>
      </c>
      <c r="P6" s="13"/>
      <c r="Q6" s="13"/>
      <c r="R6" s="13"/>
      <c r="S6" s="13"/>
      <c r="T6" s="11" t="s">
        <v>19</v>
      </c>
      <c r="U6" s="13"/>
      <c r="V6" s="13"/>
      <c r="W6" s="13"/>
      <c r="X6" s="13"/>
      <c r="Y6" s="13"/>
      <c r="Z6" s="13"/>
      <c r="AA6" s="13"/>
    </row>
    <row r="7" spans="1:27" ht="30" x14ac:dyDescent="0.25">
      <c r="A7" s="11" t="s">
        <v>2534</v>
      </c>
      <c r="B7" s="12" t="s">
        <v>2513</v>
      </c>
      <c r="C7" s="11" t="s">
        <v>146</v>
      </c>
      <c r="D7" s="11" t="s">
        <v>147</v>
      </c>
      <c r="E7" s="11" t="s">
        <v>2535</v>
      </c>
      <c r="F7" s="11" t="s">
        <v>66</v>
      </c>
      <c r="G7" s="11" t="s">
        <v>75</v>
      </c>
      <c r="H7" s="11"/>
      <c r="I7" s="11" t="s">
        <v>2536</v>
      </c>
      <c r="J7" s="11" t="s">
        <v>2537</v>
      </c>
      <c r="K7" s="11"/>
      <c r="L7" s="11" t="s">
        <v>70</v>
      </c>
      <c r="M7" s="11" t="s">
        <v>71</v>
      </c>
      <c r="N7" s="11" t="s">
        <v>72</v>
      </c>
      <c r="O7" s="11" t="s">
        <v>19</v>
      </c>
      <c r="P7" s="13"/>
      <c r="Q7" s="13"/>
      <c r="R7" s="13"/>
      <c r="S7" s="13"/>
      <c r="T7" s="11" t="s">
        <v>19</v>
      </c>
      <c r="U7" s="13"/>
      <c r="V7" s="13"/>
      <c r="W7" s="13"/>
      <c r="X7" s="13"/>
      <c r="Y7" s="13"/>
      <c r="Z7" s="13"/>
      <c r="AA7" s="13"/>
    </row>
    <row r="8" spans="1:27" ht="30" x14ac:dyDescent="0.25">
      <c r="A8" s="11" t="s">
        <v>2538</v>
      </c>
      <c r="B8" s="12" t="s">
        <v>2513</v>
      </c>
      <c r="C8" s="11" t="s">
        <v>146</v>
      </c>
      <c r="D8" s="11" t="s">
        <v>152</v>
      </c>
      <c r="E8" s="11" t="s">
        <v>2539</v>
      </c>
      <c r="F8" s="11" t="s">
        <v>66</v>
      </c>
      <c r="G8" s="11" t="s">
        <v>75</v>
      </c>
      <c r="H8" s="11"/>
      <c r="I8" s="11" t="s">
        <v>2540</v>
      </c>
      <c r="J8" s="11" t="s">
        <v>2541</v>
      </c>
      <c r="K8" s="11"/>
      <c r="L8" s="11" t="s">
        <v>70</v>
      </c>
      <c r="M8" s="11" t="s">
        <v>71</v>
      </c>
      <c r="N8" s="11" t="s">
        <v>72</v>
      </c>
      <c r="O8" s="11" t="s">
        <v>19</v>
      </c>
      <c r="P8" s="13"/>
      <c r="Q8" s="13"/>
      <c r="R8" s="13"/>
      <c r="S8" s="13"/>
      <c r="T8" s="11" t="s">
        <v>19</v>
      </c>
      <c r="U8" s="13"/>
      <c r="V8" s="13"/>
      <c r="W8" s="13"/>
      <c r="X8" s="13"/>
      <c r="Y8" s="13"/>
      <c r="Z8" s="13"/>
      <c r="AA8" s="13"/>
    </row>
    <row r="9" spans="1:27" ht="30" x14ac:dyDescent="0.25">
      <c r="A9" s="11" t="s">
        <v>2542</v>
      </c>
      <c r="B9" s="12" t="s">
        <v>2513</v>
      </c>
      <c r="C9" s="11" t="s">
        <v>146</v>
      </c>
      <c r="D9" s="11" t="s">
        <v>157</v>
      </c>
      <c r="E9" s="11" t="s">
        <v>2543</v>
      </c>
      <c r="F9" s="11" t="s">
        <v>66</v>
      </c>
      <c r="G9" s="11" t="s">
        <v>67</v>
      </c>
      <c r="H9" s="11"/>
      <c r="I9" s="11" t="s">
        <v>2544</v>
      </c>
      <c r="J9" s="11" t="s">
        <v>2545</v>
      </c>
      <c r="K9" s="11"/>
      <c r="L9" s="11" t="s">
        <v>70</v>
      </c>
      <c r="M9" s="11" t="s">
        <v>71</v>
      </c>
      <c r="N9" s="11" t="s">
        <v>72</v>
      </c>
      <c r="O9" s="11" t="s">
        <v>19</v>
      </c>
      <c r="P9" s="13"/>
      <c r="Q9" s="13"/>
      <c r="R9" s="13"/>
      <c r="S9" s="13"/>
      <c r="T9" s="11" t="s">
        <v>19</v>
      </c>
      <c r="U9" s="13"/>
      <c r="V9" s="13"/>
      <c r="W9" s="13"/>
      <c r="X9" s="13"/>
      <c r="Y9" s="13"/>
      <c r="Z9" s="13"/>
      <c r="AA9" s="13"/>
    </row>
    <row r="10" spans="1:27" ht="30" x14ac:dyDescent="0.25">
      <c r="A10" s="11" t="s">
        <v>2546</v>
      </c>
      <c r="B10" s="12" t="s">
        <v>2513</v>
      </c>
      <c r="C10" s="11" t="s">
        <v>146</v>
      </c>
      <c r="D10" s="11" t="s">
        <v>162</v>
      </c>
      <c r="E10" s="11" t="s">
        <v>2547</v>
      </c>
      <c r="F10" s="11" t="s">
        <v>66</v>
      </c>
      <c r="G10" s="11" t="s">
        <v>67</v>
      </c>
      <c r="H10" s="11"/>
      <c r="I10" s="11" t="s">
        <v>2548</v>
      </c>
      <c r="J10" s="11" t="s">
        <v>2549</v>
      </c>
      <c r="K10" s="11"/>
      <c r="L10" s="11" t="s">
        <v>70</v>
      </c>
      <c r="M10" s="11" t="s">
        <v>71</v>
      </c>
      <c r="N10" s="11" t="s">
        <v>72</v>
      </c>
      <c r="O10" s="11" t="s">
        <v>19</v>
      </c>
      <c r="P10" s="13"/>
      <c r="Q10" s="13"/>
      <c r="R10" s="13"/>
      <c r="S10" s="13"/>
      <c r="T10" s="11" t="s">
        <v>19</v>
      </c>
      <c r="U10" s="13"/>
      <c r="V10" s="13"/>
      <c r="W10" s="13"/>
      <c r="X10" s="13"/>
      <c r="Y10" s="13"/>
      <c r="Z10" s="13"/>
      <c r="AA10" s="13"/>
    </row>
    <row r="11" spans="1:27" ht="30" x14ac:dyDescent="0.25">
      <c r="A11" s="11" t="s">
        <v>2550</v>
      </c>
      <c r="B11" s="12" t="s">
        <v>2513</v>
      </c>
      <c r="C11" s="11" t="s">
        <v>146</v>
      </c>
      <c r="D11" s="11" t="s">
        <v>167</v>
      </c>
      <c r="E11" s="11" t="s">
        <v>2551</v>
      </c>
      <c r="F11" s="11" t="s">
        <v>66</v>
      </c>
      <c r="G11" s="11" t="s">
        <v>75</v>
      </c>
      <c r="H11" s="11"/>
      <c r="I11" s="11" t="s">
        <v>2552</v>
      </c>
      <c r="J11" s="11" t="s">
        <v>2553</v>
      </c>
      <c r="K11" s="11"/>
      <c r="L11" s="11" t="s">
        <v>70</v>
      </c>
      <c r="M11" s="11" t="s">
        <v>71</v>
      </c>
      <c r="N11" s="11" t="s">
        <v>72</v>
      </c>
      <c r="O11" s="11" t="s">
        <v>19</v>
      </c>
      <c r="P11" s="13"/>
      <c r="Q11" s="13"/>
      <c r="R11" s="13"/>
      <c r="S11" s="13"/>
      <c r="T11" s="11" t="s">
        <v>19</v>
      </c>
      <c r="U11" s="13"/>
      <c r="V11" s="13"/>
      <c r="W11" s="13"/>
      <c r="X11" s="13"/>
      <c r="Y11" s="13"/>
      <c r="Z11" s="13"/>
      <c r="AA11" s="13"/>
    </row>
    <row r="12" spans="1:27" ht="30" x14ac:dyDescent="0.25">
      <c r="A12" s="11" t="s">
        <v>2554</v>
      </c>
      <c r="B12" s="12" t="s">
        <v>2513</v>
      </c>
      <c r="C12" s="11" t="s">
        <v>146</v>
      </c>
      <c r="D12" s="11" t="s">
        <v>172</v>
      </c>
      <c r="E12" s="11" t="s">
        <v>2555</v>
      </c>
      <c r="F12" s="11" t="s">
        <v>66</v>
      </c>
      <c r="G12" s="11" t="s">
        <v>67</v>
      </c>
      <c r="H12" s="11"/>
      <c r="I12" s="11" t="s">
        <v>2556</v>
      </c>
      <c r="J12" s="11" t="s">
        <v>2557</v>
      </c>
      <c r="K12" s="11"/>
      <c r="L12" s="11" t="s">
        <v>70</v>
      </c>
      <c r="M12" s="11" t="s">
        <v>71</v>
      </c>
      <c r="N12" s="11" t="s">
        <v>72</v>
      </c>
      <c r="O12" s="11" t="s">
        <v>19</v>
      </c>
      <c r="P12" s="13"/>
      <c r="Q12" s="13"/>
      <c r="R12" s="13"/>
      <c r="S12" s="13"/>
      <c r="T12" s="11" t="s">
        <v>19</v>
      </c>
      <c r="U12" s="13"/>
      <c r="V12" s="13"/>
      <c r="W12" s="13"/>
      <c r="X12" s="13"/>
      <c r="Y12" s="13"/>
      <c r="Z12" s="13"/>
      <c r="AA12" s="13"/>
    </row>
    <row r="13" spans="1:27" ht="45" x14ac:dyDescent="0.25">
      <c r="A13" s="11" t="s">
        <v>2558</v>
      </c>
      <c r="B13" s="12" t="s">
        <v>2559</v>
      </c>
      <c r="C13" s="11" t="s">
        <v>2514</v>
      </c>
      <c r="D13" s="11" t="s">
        <v>2560</v>
      </c>
      <c r="E13" s="11" t="s">
        <v>2561</v>
      </c>
      <c r="F13" s="11" t="s">
        <v>66</v>
      </c>
      <c r="G13" s="11" t="s">
        <v>75</v>
      </c>
      <c r="H13" s="11"/>
      <c r="I13" s="11" t="s">
        <v>2562</v>
      </c>
      <c r="J13" s="11" t="s">
        <v>2563</v>
      </c>
      <c r="K13" s="11"/>
      <c r="L13" s="11" t="s">
        <v>70</v>
      </c>
      <c r="M13" s="11" t="s">
        <v>71</v>
      </c>
      <c r="N13" s="11" t="s">
        <v>72</v>
      </c>
      <c r="O13" s="11" t="s">
        <v>19</v>
      </c>
      <c r="P13" s="13"/>
      <c r="Q13" s="13"/>
      <c r="R13" s="13"/>
      <c r="S13" s="13"/>
      <c r="T13" s="11" t="s">
        <v>19</v>
      </c>
      <c r="U13" s="13"/>
      <c r="V13" s="13"/>
      <c r="W13" s="13"/>
      <c r="X13" s="13"/>
      <c r="Y13" s="13"/>
      <c r="Z13" s="13"/>
      <c r="AA13" s="13"/>
    </row>
    <row r="14" spans="1:27" ht="60" x14ac:dyDescent="0.25">
      <c r="A14" s="11" t="s">
        <v>2564</v>
      </c>
      <c r="B14" s="12" t="s">
        <v>2565</v>
      </c>
      <c r="C14" s="11" t="s">
        <v>2514</v>
      </c>
      <c r="D14" s="11" t="s">
        <v>2566</v>
      </c>
      <c r="E14" s="11" t="s">
        <v>2567</v>
      </c>
      <c r="F14" s="11" t="s">
        <v>66</v>
      </c>
      <c r="G14" s="11" t="s">
        <v>67</v>
      </c>
      <c r="H14" s="11"/>
      <c r="I14" s="11" t="s">
        <v>2568</v>
      </c>
      <c r="J14" s="11" t="s">
        <v>2569</v>
      </c>
      <c r="K14" s="11"/>
      <c r="L14" s="11" t="s">
        <v>70</v>
      </c>
      <c r="M14" s="11" t="s">
        <v>71</v>
      </c>
      <c r="N14" s="11" t="s">
        <v>72</v>
      </c>
      <c r="O14" s="11" t="s">
        <v>19</v>
      </c>
      <c r="P14" s="13"/>
      <c r="Q14" s="13"/>
      <c r="R14" s="13"/>
      <c r="S14" s="13"/>
      <c r="T14" s="11" t="s">
        <v>19</v>
      </c>
      <c r="U14" s="13"/>
      <c r="V14" s="13"/>
      <c r="W14" s="13"/>
      <c r="X14" s="13"/>
      <c r="Y14" s="13"/>
      <c r="Z14" s="13"/>
      <c r="AA14" s="13"/>
    </row>
    <row r="15" spans="1:27" ht="15.75" x14ac:dyDescent="0.25">
      <c r="A15" s="53" t="s">
        <v>203</v>
      </c>
      <c r="B15" s="54"/>
      <c r="C15" s="54"/>
      <c r="D15" s="54"/>
      <c r="E15" s="54"/>
      <c r="F15" s="54"/>
      <c r="G15" s="54"/>
      <c r="H15" s="54"/>
      <c r="I15" s="54"/>
      <c r="J15" s="54"/>
      <c r="K15" s="54"/>
      <c r="L15" s="54"/>
      <c r="M15" s="54"/>
      <c r="N15" s="54"/>
      <c r="O15" s="54"/>
      <c r="P15" s="54"/>
      <c r="Q15" s="54"/>
      <c r="R15" s="54"/>
      <c r="S15" s="54"/>
      <c r="T15" s="54"/>
      <c r="U15" s="54"/>
      <c r="V15" s="54"/>
      <c r="W15" s="54"/>
      <c r="X15" s="54"/>
      <c r="Y15" s="54"/>
      <c r="Z15" s="54"/>
      <c r="AA15" s="55"/>
    </row>
    <row r="16" spans="1:27" ht="30" x14ac:dyDescent="0.25">
      <c r="A16" s="11" t="s">
        <v>2570</v>
      </c>
      <c r="B16" s="12" t="s">
        <v>2559</v>
      </c>
      <c r="C16" s="11" t="s">
        <v>2514</v>
      </c>
      <c r="D16" s="11" t="s">
        <v>2560</v>
      </c>
      <c r="E16" s="11" t="s">
        <v>984</v>
      </c>
      <c r="F16" s="11" t="s">
        <v>206</v>
      </c>
      <c r="G16" s="11" t="s">
        <v>94</v>
      </c>
      <c r="H16" s="11"/>
      <c r="I16" s="11" t="s">
        <v>2571</v>
      </c>
      <c r="J16" s="11" t="s">
        <v>2572</v>
      </c>
      <c r="K16" s="11"/>
      <c r="L16" s="11" t="s">
        <v>70</v>
      </c>
      <c r="M16" s="11" t="s">
        <v>71</v>
      </c>
      <c r="N16" s="11" t="s">
        <v>72</v>
      </c>
      <c r="O16" s="11" t="s">
        <v>19</v>
      </c>
      <c r="P16" s="13"/>
      <c r="Q16" s="13"/>
      <c r="R16" s="13"/>
      <c r="S16" s="13"/>
      <c r="T16" s="11" t="s">
        <v>19</v>
      </c>
      <c r="U16" s="13"/>
      <c r="V16" s="13"/>
      <c r="W16" s="13"/>
      <c r="X16" s="13"/>
      <c r="Y16" s="13"/>
      <c r="Z16" s="13"/>
      <c r="AA16" s="13"/>
    </row>
    <row r="17" spans="1:27" ht="30" x14ac:dyDescent="0.25">
      <c r="A17" s="11" t="s">
        <v>2573</v>
      </c>
      <c r="B17" s="12" t="s">
        <v>2574</v>
      </c>
      <c r="C17" s="11" t="s">
        <v>2575</v>
      </c>
      <c r="D17" s="11" t="s">
        <v>2576</v>
      </c>
      <c r="E17" s="11" t="s">
        <v>2577</v>
      </c>
      <c r="F17" s="11" t="s">
        <v>206</v>
      </c>
      <c r="G17" s="11" t="s">
        <v>75</v>
      </c>
      <c r="H17" s="11"/>
      <c r="I17" s="11" t="s">
        <v>2578</v>
      </c>
      <c r="J17" s="11" t="s">
        <v>2579</v>
      </c>
      <c r="K17" s="11"/>
      <c r="L17" s="11" t="s">
        <v>70</v>
      </c>
      <c r="M17" s="11" t="s">
        <v>71</v>
      </c>
      <c r="N17" s="11" t="s">
        <v>72</v>
      </c>
      <c r="O17" s="11" t="s">
        <v>19</v>
      </c>
      <c r="P17" s="13"/>
      <c r="Q17" s="13"/>
      <c r="R17" s="13"/>
      <c r="S17" s="13"/>
      <c r="T17" s="11" t="s">
        <v>19</v>
      </c>
      <c r="U17" s="13"/>
      <c r="V17" s="13"/>
      <c r="W17" s="13"/>
      <c r="X17" s="13"/>
      <c r="Y17" s="13"/>
      <c r="Z17" s="13"/>
      <c r="AA17" s="13"/>
    </row>
    <row r="18" spans="1:27" ht="30" x14ac:dyDescent="0.25">
      <c r="A18" s="11" t="s">
        <v>2580</v>
      </c>
      <c r="B18" s="12" t="s">
        <v>2574</v>
      </c>
      <c r="C18" s="11" t="s">
        <v>2575</v>
      </c>
      <c r="D18" s="11" t="s">
        <v>2576</v>
      </c>
      <c r="E18" s="11" t="s">
        <v>2581</v>
      </c>
      <c r="F18" s="11" t="s">
        <v>206</v>
      </c>
      <c r="G18" s="11" t="s">
        <v>75</v>
      </c>
      <c r="H18" s="11"/>
      <c r="I18" s="11" t="s">
        <v>2582</v>
      </c>
      <c r="J18" s="11" t="s">
        <v>2583</v>
      </c>
      <c r="K18" s="11"/>
      <c r="L18" s="11" t="s">
        <v>70</v>
      </c>
      <c r="M18" s="11" t="s">
        <v>71</v>
      </c>
      <c r="N18" s="11" t="s">
        <v>72</v>
      </c>
      <c r="O18" s="11" t="s">
        <v>19</v>
      </c>
      <c r="P18" s="13"/>
      <c r="Q18" s="13"/>
      <c r="R18" s="13"/>
      <c r="S18" s="13"/>
      <c r="T18" s="11" t="s">
        <v>19</v>
      </c>
      <c r="U18" s="13"/>
      <c r="V18" s="13"/>
      <c r="W18" s="13"/>
      <c r="X18" s="13"/>
      <c r="Y18" s="13"/>
      <c r="Z18" s="13"/>
      <c r="AA18" s="13"/>
    </row>
    <row r="19" spans="1:27" ht="15.75" x14ac:dyDescent="0.25">
      <c r="A19" s="53" t="s">
        <v>234</v>
      </c>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5"/>
    </row>
    <row r="20" spans="1:27" ht="30" x14ac:dyDescent="0.25">
      <c r="A20" s="11" t="s">
        <v>2584</v>
      </c>
      <c r="B20" s="12" t="s">
        <v>2513</v>
      </c>
      <c r="C20" s="11" t="s">
        <v>2514</v>
      </c>
      <c r="D20" s="11" t="s">
        <v>2585</v>
      </c>
      <c r="E20" s="11" t="s">
        <v>2586</v>
      </c>
      <c r="F20" s="11" t="s">
        <v>237</v>
      </c>
      <c r="G20" s="11" t="s">
        <v>94</v>
      </c>
      <c r="H20" s="11"/>
      <c r="I20" s="11" t="s">
        <v>2587</v>
      </c>
      <c r="J20" s="11" t="s">
        <v>2588</v>
      </c>
      <c r="K20" s="11"/>
      <c r="L20" s="11" t="s">
        <v>70</v>
      </c>
      <c r="M20" s="11" t="s">
        <v>71</v>
      </c>
      <c r="N20" s="11" t="s">
        <v>72</v>
      </c>
      <c r="O20" s="11" t="s">
        <v>19</v>
      </c>
      <c r="P20" s="13"/>
      <c r="Q20" s="13"/>
      <c r="R20" s="13"/>
      <c r="S20" s="13"/>
      <c r="T20" s="11" t="s">
        <v>19</v>
      </c>
      <c r="U20" s="13"/>
      <c r="V20" s="13"/>
      <c r="W20" s="13"/>
      <c r="X20" s="13"/>
      <c r="Y20" s="13"/>
      <c r="Z20" s="13"/>
      <c r="AA20" s="13"/>
    </row>
    <row r="21" spans="1:27" ht="45" x14ac:dyDescent="0.25">
      <c r="A21" s="11" t="s">
        <v>2589</v>
      </c>
      <c r="B21" s="12" t="s">
        <v>2513</v>
      </c>
      <c r="C21" s="11" t="s">
        <v>2590</v>
      </c>
      <c r="D21" s="11" t="s">
        <v>2591</v>
      </c>
      <c r="E21" s="11" t="s">
        <v>2592</v>
      </c>
      <c r="F21" s="11" t="s">
        <v>237</v>
      </c>
      <c r="G21" s="11" t="s">
        <v>75</v>
      </c>
      <c r="H21" s="11"/>
      <c r="I21" s="11" t="s">
        <v>2593</v>
      </c>
      <c r="J21" s="11" t="s">
        <v>2594</v>
      </c>
      <c r="K21" s="11"/>
      <c r="L21" s="11" t="s">
        <v>70</v>
      </c>
      <c r="M21" s="11" t="s">
        <v>71</v>
      </c>
      <c r="N21" s="11" t="s">
        <v>72</v>
      </c>
      <c r="O21" s="11" t="s">
        <v>19</v>
      </c>
      <c r="P21" s="13"/>
      <c r="Q21" s="13"/>
      <c r="R21" s="13"/>
      <c r="S21" s="13"/>
      <c r="T21" s="11" t="s">
        <v>19</v>
      </c>
      <c r="U21" s="13"/>
      <c r="V21" s="13"/>
      <c r="W21" s="13"/>
      <c r="X21" s="13"/>
      <c r="Y21" s="13"/>
      <c r="Z21" s="13"/>
      <c r="AA21" s="13"/>
    </row>
    <row r="22" spans="1:27" ht="30" x14ac:dyDescent="0.25">
      <c r="A22" s="11" t="s">
        <v>2595</v>
      </c>
      <c r="B22" s="12" t="s">
        <v>2513</v>
      </c>
      <c r="C22" s="11" t="s">
        <v>2590</v>
      </c>
      <c r="D22" s="11" t="s">
        <v>2591</v>
      </c>
      <c r="E22" s="11" t="s">
        <v>2596</v>
      </c>
      <c r="F22" s="11" t="s">
        <v>666</v>
      </c>
      <c r="G22" s="11" t="s">
        <v>94</v>
      </c>
      <c r="H22" s="11"/>
      <c r="I22" s="11" t="s">
        <v>2597</v>
      </c>
      <c r="J22" s="11" t="s">
        <v>2598</v>
      </c>
      <c r="K22" s="11"/>
      <c r="L22" s="11" t="s">
        <v>70</v>
      </c>
      <c r="M22" s="11" t="s">
        <v>71</v>
      </c>
      <c r="N22" s="11" t="s">
        <v>72</v>
      </c>
      <c r="O22" s="11" t="s">
        <v>19</v>
      </c>
      <c r="P22" s="13"/>
      <c r="Q22" s="13"/>
      <c r="R22" s="13"/>
      <c r="S22" s="13"/>
      <c r="T22" s="11" t="s">
        <v>19</v>
      </c>
      <c r="U22" s="13"/>
      <c r="V22" s="13"/>
      <c r="W22" s="13"/>
      <c r="X22" s="13"/>
      <c r="Y22" s="13"/>
      <c r="Z22" s="13"/>
      <c r="AA22" s="13"/>
    </row>
    <row r="23" spans="1:27" ht="30" x14ac:dyDescent="0.25">
      <c r="A23" s="11" t="s">
        <v>2599</v>
      </c>
      <c r="B23" s="12" t="s">
        <v>2559</v>
      </c>
      <c r="C23" s="11" t="s">
        <v>2514</v>
      </c>
      <c r="D23" s="11" t="s">
        <v>2560</v>
      </c>
      <c r="E23" s="11" t="s">
        <v>2600</v>
      </c>
      <c r="F23" s="11" t="s">
        <v>237</v>
      </c>
      <c r="G23" s="11" t="s">
        <v>75</v>
      </c>
      <c r="H23" s="11"/>
      <c r="I23" s="11" t="s">
        <v>2601</v>
      </c>
      <c r="J23" s="11" t="s">
        <v>2602</v>
      </c>
      <c r="K23" s="11"/>
      <c r="L23" s="11" t="s">
        <v>70</v>
      </c>
      <c r="M23" s="11" t="s">
        <v>71</v>
      </c>
      <c r="N23" s="11" t="s">
        <v>72</v>
      </c>
      <c r="O23" s="11" t="s">
        <v>19</v>
      </c>
      <c r="P23" s="13"/>
      <c r="Q23" s="13"/>
      <c r="R23" s="13"/>
      <c r="S23" s="13"/>
      <c r="T23" s="11" t="s">
        <v>19</v>
      </c>
      <c r="U23" s="13"/>
      <c r="V23" s="13"/>
      <c r="W23" s="13"/>
      <c r="X23" s="13"/>
      <c r="Y23" s="13"/>
      <c r="Z23" s="13"/>
      <c r="AA23" s="13"/>
    </row>
    <row r="24" spans="1:27" ht="30" x14ac:dyDescent="0.25">
      <c r="A24" s="11" t="s">
        <v>2603</v>
      </c>
      <c r="B24" s="12" t="s">
        <v>2559</v>
      </c>
      <c r="C24" s="11" t="s">
        <v>2514</v>
      </c>
      <c r="D24" s="11" t="s">
        <v>2560</v>
      </c>
      <c r="E24" s="11" t="s">
        <v>2604</v>
      </c>
      <c r="F24" s="11" t="s">
        <v>237</v>
      </c>
      <c r="G24" s="11" t="s">
        <v>75</v>
      </c>
      <c r="H24" s="11"/>
      <c r="I24" s="11" t="s">
        <v>2605</v>
      </c>
      <c r="J24" s="11" t="s">
        <v>2606</v>
      </c>
      <c r="K24" s="11"/>
      <c r="L24" s="11" t="s">
        <v>70</v>
      </c>
      <c r="M24" s="11" t="s">
        <v>71</v>
      </c>
      <c r="N24" s="11" t="s">
        <v>72</v>
      </c>
      <c r="O24" s="11" t="s">
        <v>19</v>
      </c>
      <c r="P24" s="13"/>
      <c r="Q24" s="13"/>
      <c r="R24" s="13"/>
      <c r="S24" s="13"/>
      <c r="T24" s="11" t="s">
        <v>19</v>
      </c>
      <c r="U24" s="13"/>
      <c r="V24" s="13"/>
      <c r="W24" s="13"/>
      <c r="X24" s="13"/>
      <c r="Y24" s="13"/>
      <c r="Z24" s="13"/>
      <c r="AA24" s="13"/>
    </row>
    <row r="25" spans="1:27" ht="45" x14ac:dyDescent="0.25">
      <c r="A25" s="11" t="s">
        <v>2607</v>
      </c>
      <c r="B25" s="12" t="s">
        <v>2565</v>
      </c>
      <c r="C25" s="11" t="s">
        <v>2514</v>
      </c>
      <c r="D25" s="11" t="s">
        <v>2608</v>
      </c>
      <c r="E25" s="11" t="s">
        <v>2609</v>
      </c>
      <c r="F25" s="11" t="s">
        <v>237</v>
      </c>
      <c r="G25" s="11" t="s">
        <v>75</v>
      </c>
      <c r="H25" s="11"/>
      <c r="I25" s="11" t="s">
        <v>2610</v>
      </c>
      <c r="J25" s="11" t="s">
        <v>2611</v>
      </c>
      <c r="K25" s="11"/>
      <c r="L25" s="11" t="s">
        <v>70</v>
      </c>
      <c r="M25" s="11" t="s">
        <v>71</v>
      </c>
      <c r="N25" s="11" t="s">
        <v>72</v>
      </c>
      <c r="O25" s="11" t="s">
        <v>19</v>
      </c>
      <c r="P25" s="13"/>
      <c r="Q25" s="13"/>
      <c r="R25" s="13"/>
      <c r="S25" s="13"/>
      <c r="T25" s="11" t="s">
        <v>19</v>
      </c>
      <c r="U25" s="13"/>
      <c r="V25" s="13"/>
      <c r="W25" s="13"/>
      <c r="X25" s="13"/>
      <c r="Y25" s="13"/>
      <c r="Z25" s="13"/>
      <c r="AA25" s="13"/>
    </row>
    <row r="26" spans="1:27" ht="30" x14ac:dyDescent="0.25">
      <c r="A26" s="11" t="s">
        <v>2612</v>
      </c>
      <c r="B26" s="12" t="s">
        <v>2565</v>
      </c>
      <c r="C26" s="11" t="s">
        <v>2514</v>
      </c>
      <c r="D26" s="11" t="s">
        <v>2608</v>
      </c>
      <c r="E26" s="11" t="s">
        <v>2613</v>
      </c>
      <c r="F26" s="11" t="s">
        <v>237</v>
      </c>
      <c r="G26" s="11" t="s">
        <v>75</v>
      </c>
      <c r="H26" s="11"/>
      <c r="I26" s="11" t="s">
        <v>2614</v>
      </c>
      <c r="J26" s="11" t="s">
        <v>2615</v>
      </c>
      <c r="K26" s="11"/>
      <c r="L26" s="11" t="s">
        <v>70</v>
      </c>
      <c r="M26" s="11" t="s">
        <v>71</v>
      </c>
      <c r="N26" s="11" t="s">
        <v>72</v>
      </c>
      <c r="O26" s="11" t="s">
        <v>19</v>
      </c>
      <c r="P26" s="13"/>
      <c r="Q26" s="13"/>
      <c r="R26" s="13"/>
      <c r="S26" s="13"/>
      <c r="T26" s="11" t="s">
        <v>19</v>
      </c>
      <c r="U26" s="13"/>
      <c r="V26" s="13"/>
      <c r="W26" s="13"/>
      <c r="X26" s="13"/>
      <c r="Y26" s="13"/>
      <c r="Z26" s="13"/>
      <c r="AA26" s="13"/>
    </row>
    <row r="27" spans="1:27" ht="30" x14ac:dyDescent="0.25">
      <c r="A27" s="11" t="s">
        <v>2616</v>
      </c>
      <c r="B27" s="12" t="s">
        <v>2565</v>
      </c>
      <c r="C27" s="11" t="s">
        <v>2514</v>
      </c>
      <c r="D27" s="11" t="s">
        <v>2608</v>
      </c>
      <c r="E27" s="11" t="s">
        <v>2617</v>
      </c>
      <c r="F27" s="11" t="s">
        <v>237</v>
      </c>
      <c r="G27" s="11" t="s">
        <v>94</v>
      </c>
      <c r="H27" s="11"/>
      <c r="I27" s="11" t="s">
        <v>2618</v>
      </c>
      <c r="J27" s="11" t="s">
        <v>2619</v>
      </c>
      <c r="K27" s="11"/>
      <c r="L27" s="11" t="s">
        <v>70</v>
      </c>
      <c r="M27" s="11" t="s">
        <v>71</v>
      </c>
      <c r="N27" s="11" t="s">
        <v>72</v>
      </c>
      <c r="O27" s="11" t="s">
        <v>19</v>
      </c>
      <c r="P27" s="13"/>
      <c r="Q27" s="13"/>
      <c r="R27" s="13"/>
      <c r="S27" s="13"/>
      <c r="T27" s="11" t="s">
        <v>19</v>
      </c>
      <c r="U27" s="13"/>
      <c r="V27" s="13"/>
      <c r="W27" s="13"/>
      <c r="X27" s="13"/>
      <c r="Y27" s="13"/>
      <c r="Z27" s="13"/>
      <c r="AA27" s="13"/>
    </row>
    <row r="28" spans="1:27" ht="60" x14ac:dyDescent="0.25">
      <c r="A28" s="11" t="s">
        <v>2620</v>
      </c>
      <c r="B28" s="12" t="s">
        <v>2621</v>
      </c>
      <c r="C28" s="11" t="s">
        <v>2622</v>
      </c>
      <c r="D28" s="11" t="s">
        <v>2623</v>
      </c>
      <c r="E28" s="11" t="s">
        <v>2624</v>
      </c>
      <c r="F28" s="11" t="s">
        <v>237</v>
      </c>
      <c r="G28" s="11" t="s">
        <v>75</v>
      </c>
      <c r="H28" s="11"/>
      <c r="I28" s="11" t="s">
        <v>2625</v>
      </c>
      <c r="J28" s="11" t="s">
        <v>2626</v>
      </c>
      <c r="K28" s="11"/>
      <c r="L28" s="11" t="s">
        <v>70</v>
      </c>
      <c r="M28" s="11" t="s">
        <v>71</v>
      </c>
      <c r="N28" s="11" t="s">
        <v>72</v>
      </c>
      <c r="O28" s="11" t="s">
        <v>19</v>
      </c>
      <c r="P28" s="13"/>
      <c r="Q28" s="13"/>
      <c r="R28" s="13"/>
      <c r="S28" s="13"/>
      <c r="T28" s="11" t="s">
        <v>19</v>
      </c>
      <c r="U28" s="13"/>
      <c r="V28" s="13"/>
      <c r="W28" s="13"/>
      <c r="X28" s="13"/>
      <c r="Y28" s="13"/>
      <c r="Z28" s="13"/>
      <c r="AA28" s="13"/>
    </row>
    <row r="29" spans="1:27" ht="60" x14ac:dyDescent="0.25">
      <c r="A29" s="11" t="s">
        <v>2627</v>
      </c>
      <c r="B29" s="12" t="s">
        <v>2574</v>
      </c>
      <c r="C29" s="11" t="s">
        <v>2575</v>
      </c>
      <c r="D29" s="11" t="s">
        <v>2576</v>
      </c>
      <c r="E29" s="11" t="s">
        <v>2628</v>
      </c>
      <c r="F29" s="11" t="s">
        <v>237</v>
      </c>
      <c r="G29" s="11" t="s">
        <v>75</v>
      </c>
      <c r="H29" s="11"/>
      <c r="I29" s="11" t="s">
        <v>2629</v>
      </c>
      <c r="J29" s="11" t="s">
        <v>2630</v>
      </c>
      <c r="K29" s="11"/>
      <c r="L29" s="11" t="s">
        <v>70</v>
      </c>
      <c r="M29" s="11" t="s">
        <v>71</v>
      </c>
      <c r="N29" s="11" t="s">
        <v>72</v>
      </c>
      <c r="O29" s="11" t="s">
        <v>19</v>
      </c>
      <c r="P29" s="13"/>
      <c r="Q29" s="13"/>
      <c r="R29" s="13"/>
      <c r="S29" s="13"/>
      <c r="T29" s="11" t="s">
        <v>19</v>
      </c>
      <c r="U29" s="13"/>
      <c r="V29" s="13"/>
      <c r="W29" s="13"/>
      <c r="X29" s="13"/>
      <c r="Y29" s="13"/>
      <c r="Z29" s="13"/>
      <c r="AA29" s="13"/>
    </row>
  </sheetData>
  <autoFilter ref="A1:AA1" xr:uid="{00000000-0009-0000-0000-000008000000}"/>
  <mergeCells count="3">
    <mergeCell ref="A15:AA15"/>
    <mergeCell ref="A19:AA19"/>
    <mergeCell ref="A2:AA2"/>
  </mergeCells>
  <dataValidations count="4">
    <dataValidation type="list" allowBlank="1" sqref="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9" xr:uid="{00000000-0002-0000-0800-000000000000}">
      <formula1>"Add new,Update,Delete"</formula1>
    </dataValidation>
    <dataValidation type="list" allowBlank="1"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9" xr:uid="{00000000-0002-0000-0800-000001000000}">
      <formula1>"By AI,By Manual"</formula1>
    </dataValidation>
    <dataValidation type="list" allowBlank="1" sqref="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9" xr:uid="{00000000-0002-0000-0800-000002000000}">
      <formula1>"Auto,Manual"</formula1>
    </dataValidation>
    <dataValidation type="list" allowBlank="1" sqref="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9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T201 T202 T203 T204 T205 T206 T207 T209" xr:uid="{00000000-0002-0000-0800-000003000000}">
      <formula1>"Untested,Pass,Fail,N/A"</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14"/>
  <sheetViews>
    <sheetView workbookViewId="0">
      <pane ySplit="1" topLeftCell="A2" activePane="bottomLeft" state="frozen"/>
      <selection pane="bottomLeft"/>
    </sheetView>
  </sheetViews>
  <sheetFormatPr defaultRowHeight="15" x14ac:dyDescent="0.25"/>
  <cols>
    <col min="1" max="1" width="16" customWidth="1"/>
    <col min="2" max="2" width="22" customWidth="1"/>
    <col min="3" max="3" width="12" customWidth="1"/>
    <col min="4" max="4" width="22" customWidth="1"/>
    <col min="5" max="5" width="35" customWidth="1"/>
    <col min="6" max="6" width="14" customWidth="1"/>
    <col min="7" max="7" width="10" customWidth="1"/>
    <col min="8" max="8" width="30" customWidth="1"/>
    <col min="9" max="9" width="45" customWidth="1"/>
    <col min="10" max="11" width="40" customWidth="1"/>
    <col min="12" max="12" width="12" customWidth="1"/>
    <col min="13" max="14" width="14" customWidth="1"/>
    <col min="15" max="15" width="10" customWidth="1"/>
    <col min="16" max="16" width="12" customWidth="1"/>
    <col min="17" max="17" width="10" customWidth="1"/>
    <col min="18" max="18" width="14" customWidth="1"/>
    <col min="19" max="19" width="35" customWidth="1"/>
    <col min="20" max="20" width="10" customWidth="1"/>
    <col min="21" max="21" width="12" customWidth="1"/>
    <col min="22" max="22" width="10" customWidth="1"/>
    <col min="23" max="23" width="14" customWidth="1"/>
    <col min="24" max="24" width="35" customWidth="1"/>
    <col min="25" max="25" width="30" customWidth="1"/>
    <col min="26" max="26" width="15" customWidth="1"/>
    <col min="27" max="27" width="35" customWidth="1"/>
  </cols>
  <sheetData>
    <row r="1" spans="1:27" ht="30" customHeight="1" x14ac:dyDescent="0.25">
      <c r="A1" s="8" t="s">
        <v>33</v>
      </c>
      <c r="B1" s="9" t="s">
        <v>34</v>
      </c>
      <c r="C1" s="8" t="s">
        <v>35</v>
      </c>
      <c r="D1" s="8" t="s">
        <v>36</v>
      </c>
      <c r="E1" s="8" t="s">
        <v>37</v>
      </c>
      <c r="F1" s="8" t="s">
        <v>38</v>
      </c>
      <c r="G1" s="8" t="s">
        <v>39</v>
      </c>
      <c r="H1" s="8" t="s">
        <v>40</v>
      </c>
      <c r="I1" s="8" t="s">
        <v>41</v>
      </c>
      <c r="J1" s="8" t="s">
        <v>42</v>
      </c>
      <c r="K1" s="8" t="s">
        <v>43</v>
      </c>
      <c r="L1" s="8" t="s">
        <v>44</v>
      </c>
      <c r="M1" s="8" t="s">
        <v>45</v>
      </c>
      <c r="N1" s="8" t="s">
        <v>46</v>
      </c>
      <c r="O1" s="8" t="s">
        <v>47</v>
      </c>
      <c r="P1" s="8" t="s">
        <v>48</v>
      </c>
      <c r="Q1" s="8" t="s">
        <v>49</v>
      </c>
      <c r="R1" s="8" t="s">
        <v>50</v>
      </c>
      <c r="S1" s="8" t="s">
        <v>51</v>
      </c>
      <c r="T1" s="8" t="s">
        <v>52</v>
      </c>
      <c r="U1" s="8" t="s">
        <v>53</v>
      </c>
      <c r="V1" s="8" t="s">
        <v>54</v>
      </c>
      <c r="W1" s="8" t="s">
        <v>55</v>
      </c>
      <c r="X1" s="8" t="s">
        <v>56</v>
      </c>
      <c r="Y1" s="8" t="s">
        <v>57</v>
      </c>
      <c r="Z1" s="8" t="s">
        <v>58</v>
      </c>
      <c r="AA1" s="10" t="s">
        <v>59</v>
      </c>
    </row>
    <row r="2" spans="1:27" ht="15.75" x14ac:dyDescent="0.25">
      <c r="A2" s="53" t="s">
        <v>60</v>
      </c>
      <c r="B2" s="54"/>
      <c r="C2" s="54"/>
      <c r="D2" s="54"/>
      <c r="E2" s="54"/>
      <c r="F2" s="54"/>
      <c r="G2" s="54"/>
      <c r="H2" s="54"/>
      <c r="I2" s="54"/>
      <c r="J2" s="54"/>
      <c r="K2" s="54"/>
      <c r="L2" s="54"/>
      <c r="M2" s="54"/>
      <c r="N2" s="54"/>
      <c r="O2" s="54"/>
      <c r="P2" s="54"/>
      <c r="Q2" s="54"/>
      <c r="R2" s="54"/>
      <c r="S2" s="54"/>
      <c r="T2" s="54"/>
      <c r="U2" s="54"/>
      <c r="V2" s="54"/>
      <c r="W2" s="54"/>
      <c r="X2" s="54"/>
      <c r="Y2" s="54"/>
      <c r="Z2" s="54"/>
      <c r="AA2" s="55"/>
    </row>
    <row r="3" spans="1:27" ht="45" x14ac:dyDescent="0.25">
      <c r="A3" s="11" t="s">
        <v>2631</v>
      </c>
      <c r="B3" s="12" t="s">
        <v>2632</v>
      </c>
      <c r="C3" s="11" t="s">
        <v>186</v>
      </c>
      <c r="D3" s="11" t="s">
        <v>2633</v>
      </c>
      <c r="E3" s="11" t="s">
        <v>2634</v>
      </c>
      <c r="F3" s="11" t="s">
        <v>66</v>
      </c>
      <c r="G3" s="11" t="s">
        <v>94</v>
      </c>
      <c r="H3" s="11"/>
      <c r="I3" s="11" t="s">
        <v>2635</v>
      </c>
      <c r="J3" s="11" t="s">
        <v>2636</v>
      </c>
      <c r="K3" s="11"/>
      <c r="L3" s="11" t="s">
        <v>70</v>
      </c>
      <c r="M3" s="11" t="s">
        <v>71</v>
      </c>
      <c r="N3" s="11" t="s">
        <v>72</v>
      </c>
      <c r="O3" s="11" t="s">
        <v>19</v>
      </c>
      <c r="P3" s="13"/>
      <c r="Q3" s="13"/>
      <c r="R3" s="13"/>
      <c r="S3" s="13"/>
      <c r="T3" s="11" t="s">
        <v>19</v>
      </c>
      <c r="U3" s="13"/>
      <c r="V3" s="13"/>
      <c r="W3" s="13"/>
      <c r="X3" s="13"/>
      <c r="Y3" s="13"/>
      <c r="Z3" s="13"/>
      <c r="AA3" s="13"/>
    </row>
    <row r="4" spans="1:27" ht="75" x14ac:dyDescent="0.25">
      <c r="A4" s="11" t="s">
        <v>2637</v>
      </c>
      <c r="B4" s="12" t="s">
        <v>2638</v>
      </c>
      <c r="C4" s="11" t="s">
        <v>186</v>
      </c>
      <c r="D4" s="11" t="s">
        <v>2639</v>
      </c>
      <c r="E4" s="11" t="s">
        <v>2640</v>
      </c>
      <c r="F4" s="11" t="s">
        <v>66</v>
      </c>
      <c r="G4" s="11" t="s">
        <v>75</v>
      </c>
      <c r="H4" s="11"/>
      <c r="I4" s="11" t="s">
        <v>2641</v>
      </c>
      <c r="J4" s="11" t="s">
        <v>2642</v>
      </c>
      <c r="K4" s="11"/>
      <c r="L4" s="11" t="s">
        <v>70</v>
      </c>
      <c r="M4" s="11" t="s">
        <v>71</v>
      </c>
      <c r="N4" s="11" t="s">
        <v>72</v>
      </c>
      <c r="O4" s="11" t="s">
        <v>19</v>
      </c>
      <c r="P4" s="13"/>
      <c r="Q4" s="13"/>
      <c r="R4" s="13"/>
      <c r="S4" s="13"/>
      <c r="T4" s="11" t="s">
        <v>19</v>
      </c>
      <c r="U4" s="13"/>
      <c r="V4" s="13"/>
      <c r="W4" s="13"/>
      <c r="X4" s="13"/>
      <c r="Y4" s="13"/>
      <c r="Z4" s="13"/>
      <c r="AA4" s="13"/>
    </row>
    <row r="5" spans="1:27" ht="45" x14ac:dyDescent="0.25">
      <c r="A5" s="11" t="s">
        <v>2643</v>
      </c>
      <c r="B5" s="12" t="s">
        <v>2644</v>
      </c>
      <c r="C5" s="11" t="s">
        <v>186</v>
      </c>
      <c r="D5" s="11" t="s">
        <v>2644</v>
      </c>
      <c r="E5" s="11" t="s">
        <v>2645</v>
      </c>
      <c r="F5" s="11" t="s">
        <v>66</v>
      </c>
      <c r="G5" s="11" t="s">
        <v>75</v>
      </c>
      <c r="H5" s="11"/>
      <c r="I5" s="11" t="s">
        <v>2646</v>
      </c>
      <c r="J5" s="11" t="s">
        <v>2647</v>
      </c>
      <c r="K5" s="11"/>
      <c r="L5" s="11" t="s">
        <v>70</v>
      </c>
      <c r="M5" s="11" t="s">
        <v>71</v>
      </c>
      <c r="N5" s="11" t="s">
        <v>72</v>
      </c>
      <c r="O5" s="11" t="s">
        <v>19</v>
      </c>
      <c r="P5" s="13"/>
      <c r="Q5" s="13"/>
      <c r="R5" s="13"/>
      <c r="S5" s="13"/>
      <c r="T5" s="11" t="s">
        <v>19</v>
      </c>
      <c r="U5" s="13"/>
      <c r="V5" s="13"/>
      <c r="W5" s="13"/>
      <c r="X5" s="13"/>
      <c r="Y5" s="13"/>
      <c r="Z5" s="13"/>
      <c r="AA5" s="13"/>
    </row>
    <row r="6" spans="1:27" ht="45" x14ac:dyDescent="0.25">
      <c r="A6" s="11" t="s">
        <v>2648</v>
      </c>
      <c r="B6" s="12" t="s">
        <v>2649</v>
      </c>
      <c r="C6" s="11" t="s">
        <v>186</v>
      </c>
      <c r="D6" s="11" t="s">
        <v>2649</v>
      </c>
      <c r="E6" s="11" t="s">
        <v>2650</v>
      </c>
      <c r="F6" s="11" t="s">
        <v>66</v>
      </c>
      <c r="G6" s="11" t="s">
        <v>75</v>
      </c>
      <c r="H6" s="11"/>
      <c r="I6" s="11" t="s">
        <v>2651</v>
      </c>
      <c r="J6" s="11" t="s">
        <v>2652</v>
      </c>
      <c r="K6" s="11"/>
      <c r="L6" s="11" t="s">
        <v>70</v>
      </c>
      <c r="M6" s="11" t="s">
        <v>71</v>
      </c>
      <c r="N6" s="11" t="s">
        <v>72</v>
      </c>
      <c r="O6" s="11" t="s">
        <v>19</v>
      </c>
      <c r="P6" s="13"/>
      <c r="Q6" s="13"/>
      <c r="R6" s="13"/>
      <c r="S6" s="13"/>
      <c r="T6" s="11" t="s">
        <v>19</v>
      </c>
      <c r="U6" s="13"/>
      <c r="V6" s="13"/>
      <c r="W6" s="13"/>
      <c r="X6" s="13"/>
      <c r="Y6" s="13"/>
      <c r="Z6" s="13"/>
      <c r="AA6" s="13"/>
    </row>
    <row r="7" spans="1:27" ht="30" x14ac:dyDescent="0.25">
      <c r="A7" s="11" t="s">
        <v>2653</v>
      </c>
      <c r="B7" s="12" t="s">
        <v>2654</v>
      </c>
      <c r="C7" s="11" t="s">
        <v>186</v>
      </c>
      <c r="D7" s="11" t="s">
        <v>2654</v>
      </c>
      <c r="E7" s="11" t="s">
        <v>2655</v>
      </c>
      <c r="F7" s="11" t="s">
        <v>66</v>
      </c>
      <c r="G7" s="11" t="s">
        <v>75</v>
      </c>
      <c r="H7" s="11"/>
      <c r="I7" s="11" t="s">
        <v>2656</v>
      </c>
      <c r="J7" s="11" t="s">
        <v>2657</v>
      </c>
      <c r="K7" s="11"/>
      <c r="L7" s="11" t="s">
        <v>70</v>
      </c>
      <c r="M7" s="11" t="s">
        <v>71</v>
      </c>
      <c r="N7" s="11" t="s">
        <v>72</v>
      </c>
      <c r="O7" s="11" t="s">
        <v>19</v>
      </c>
      <c r="P7" s="13"/>
      <c r="Q7" s="13"/>
      <c r="R7" s="13"/>
      <c r="S7" s="13"/>
      <c r="T7" s="11" t="s">
        <v>19</v>
      </c>
      <c r="U7" s="13"/>
      <c r="V7" s="13"/>
      <c r="W7" s="13"/>
      <c r="X7" s="13"/>
      <c r="Y7" s="13"/>
      <c r="Z7" s="13"/>
      <c r="AA7" s="13"/>
    </row>
    <row r="8" spans="1:27" ht="45" x14ac:dyDescent="0.25">
      <c r="A8" s="11" t="s">
        <v>2658</v>
      </c>
      <c r="B8" s="12" t="s">
        <v>2659</v>
      </c>
      <c r="C8" s="11" t="s">
        <v>186</v>
      </c>
      <c r="D8" s="11" t="s">
        <v>2659</v>
      </c>
      <c r="E8" s="11" t="s">
        <v>2660</v>
      </c>
      <c r="F8" s="11" t="s">
        <v>66</v>
      </c>
      <c r="G8" s="11" t="s">
        <v>75</v>
      </c>
      <c r="H8" s="11"/>
      <c r="I8" s="11" t="s">
        <v>2661</v>
      </c>
      <c r="J8" s="11" t="s">
        <v>2662</v>
      </c>
      <c r="K8" s="11"/>
      <c r="L8" s="11" t="s">
        <v>70</v>
      </c>
      <c r="M8" s="11" t="s">
        <v>71</v>
      </c>
      <c r="N8" s="11" t="s">
        <v>72</v>
      </c>
      <c r="O8" s="11" t="s">
        <v>19</v>
      </c>
      <c r="P8" s="13"/>
      <c r="Q8" s="13"/>
      <c r="R8" s="13"/>
      <c r="S8" s="13"/>
      <c r="T8" s="11" t="s">
        <v>19</v>
      </c>
      <c r="U8" s="13"/>
      <c r="V8" s="13"/>
      <c r="W8" s="13"/>
      <c r="X8" s="13"/>
      <c r="Y8" s="13"/>
      <c r="Z8" s="13"/>
      <c r="AA8" s="13"/>
    </row>
    <row r="9" spans="1:27" ht="15.75" x14ac:dyDescent="0.25">
      <c r="A9" s="53" t="s">
        <v>203</v>
      </c>
      <c r="B9" s="54"/>
      <c r="C9" s="54"/>
      <c r="D9" s="54"/>
      <c r="E9" s="54"/>
      <c r="F9" s="54"/>
      <c r="G9" s="54"/>
      <c r="H9" s="54"/>
      <c r="I9" s="54"/>
      <c r="J9" s="54"/>
      <c r="K9" s="54"/>
      <c r="L9" s="54"/>
      <c r="M9" s="54"/>
      <c r="N9" s="54"/>
      <c r="O9" s="54"/>
      <c r="P9" s="54"/>
      <c r="Q9" s="54"/>
      <c r="R9" s="54"/>
      <c r="S9" s="54"/>
      <c r="T9" s="54"/>
      <c r="U9" s="54"/>
      <c r="V9" s="54"/>
      <c r="W9" s="54"/>
      <c r="X9" s="54"/>
      <c r="Y9" s="54"/>
      <c r="Z9" s="54"/>
      <c r="AA9" s="55"/>
    </row>
    <row r="10" spans="1:27" ht="30" x14ac:dyDescent="0.25">
      <c r="A10" s="11" t="s">
        <v>2663</v>
      </c>
      <c r="B10" s="12" t="s">
        <v>2664</v>
      </c>
      <c r="C10" s="11" t="s">
        <v>186</v>
      </c>
      <c r="D10" s="11" t="s">
        <v>2665</v>
      </c>
      <c r="E10" s="11" t="s">
        <v>2666</v>
      </c>
      <c r="F10" s="11" t="s">
        <v>206</v>
      </c>
      <c r="G10" s="11" t="s">
        <v>75</v>
      </c>
      <c r="H10" s="11"/>
      <c r="I10" s="11" t="s">
        <v>2667</v>
      </c>
      <c r="J10" s="11" t="s">
        <v>2668</v>
      </c>
      <c r="K10" s="11"/>
      <c r="L10" s="11" t="s">
        <v>70</v>
      </c>
      <c r="M10" s="11" t="s">
        <v>71</v>
      </c>
      <c r="N10" s="11" t="s">
        <v>72</v>
      </c>
      <c r="O10" s="11" t="s">
        <v>19</v>
      </c>
      <c r="P10" s="13"/>
      <c r="Q10" s="13"/>
      <c r="R10" s="13"/>
      <c r="S10" s="13"/>
      <c r="T10" s="11" t="s">
        <v>19</v>
      </c>
      <c r="U10" s="13"/>
      <c r="V10" s="13"/>
      <c r="W10" s="13"/>
      <c r="X10" s="13"/>
      <c r="Y10" s="13"/>
      <c r="Z10" s="13"/>
      <c r="AA10" s="13"/>
    </row>
    <row r="11" spans="1:27" ht="15.75" x14ac:dyDescent="0.25">
      <c r="A11" s="53" t="s">
        <v>234</v>
      </c>
      <c r="B11" s="54"/>
      <c r="C11" s="54"/>
      <c r="D11" s="54"/>
      <c r="E11" s="54"/>
      <c r="F11" s="54"/>
      <c r="G11" s="54"/>
      <c r="H11" s="54"/>
      <c r="I11" s="54"/>
      <c r="J11" s="54"/>
      <c r="K11" s="54"/>
      <c r="L11" s="54"/>
      <c r="M11" s="54"/>
      <c r="N11" s="54"/>
      <c r="O11" s="54"/>
      <c r="P11" s="54"/>
      <c r="Q11" s="54"/>
      <c r="R11" s="54"/>
      <c r="S11" s="54"/>
      <c r="T11" s="54"/>
      <c r="U11" s="54"/>
      <c r="V11" s="54"/>
      <c r="W11" s="54"/>
      <c r="X11" s="54"/>
      <c r="Y11" s="54"/>
      <c r="Z11" s="54"/>
      <c r="AA11" s="55"/>
    </row>
    <row r="12" spans="1:27" ht="45" x14ac:dyDescent="0.25">
      <c r="A12" s="11" t="s">
        <v>2669</v>
      </c>
      <c r="B12" s="12" t="s">
        <v>2632</v>
      </c>
      <c r="C12" s="11" t="s">
        <v>186</v>
      </c>
      <c r="D12" s="11" t="s">
        <v>2670</v>
      </c>
      <c r="E12" s="11" t="s">
        <v>2671</v>
      </c>
      <c r="F12" s="11" t="s">
        <v>237</v>
      </c>
      <c r="G12" s="11" t="s">
        <v>75</v>
      </c>
      <c r="H12" s="11"/>
      <c r="I12" s="11" t="s">
        <v>2672</v>
      </c>
      <c r="J12" s="11" t="s">
        <v>2673</v>
      </c>
      <c r="K12" s="11"/>
      <c r="L12" s="11" t="s">
        <v>70</v>
      </c>
      <c r="M12" s="11" t="s">
        <v>71</v>
      </c>
      <c r="N12" s="11" t="s">
        <v>72</v>
      </c>
      <c r="O12" s="11" t="s">
        <v>19</v>
      </c>
      <c r="P12" s="13"/>
      <c r="Q12" s="13"/>
      <c r="R12" s="13"/>
      <c r="S12" s="13"/>
      <c r="T12" s="11" t="s">
        <v>19</v>
      </c>
      <c r="U12" s="13"/>
      <c r="V12" s="13"/>
      <c r="W12" s="13"/>
      <c r="X12" s="13"/>
      <c r="Y12" s="13"/>
      <c r="Z12" s="13"/>
      <c r="AA12" s="13"/>
    </row>
    <row r="13" spans="1:27" ht="30" x14ac:dyDescent="0.25">
      <c r="A13" s="11" t="s">
        <v>2674</v>
      </c>
      <c r="B13" s="12" t="s">
        <v>2632</v>
      </c>
      <c r="C13" s="11" t="s">
        <v>186</v>
      </c>
      <c r="D13" s="11" t="s">
        <v>2670</v>
      </c>
      <c r="E13" s="11" t="s">
        <v>2675</v>
      </c>
      <c r="F13" s="11" t="s">
        <v>237</v>
      </c>
      <c r="G13" s="11" t="s">
        <v>94</v>
      </c>
      <c r="H13" s="11"/>
      <c r="I13" s="11" t="s">
        <v>2676</v>
      </c>
      <c r="J13" s="11" t="s">
        <v>2677</v>
      </c>
      <c r="K13" s="11"/>
      <c r="L13" s="11" t="s">
        <v>70</v>
      </c>
      <c r="M13" s="11" t="s">
        <v>71</v>
      </c>
      <c r="N13" s="11" t="s">
        <v>72</v>
      </c>
      <c r="O13" s="11" t="s">
        <v>19</v>
      </c>
      <c r="P13" s="13"/>
      <c r="Q13" s="13"/>
      <c r="R13" s="13"/>
      <c r="S13" s="13"/>
      <c r="T13" s="11" t="s">
        <v>19</v>
      </c>
      <c r="U13" s="13"/>
      <c r="V13" s="13"/>
      <c r="W13" s="13"/>
      <c r="X13" s="13"/>
      <c r="Y13" s="13"/>
      <c r="Z13" s="13"/>
      <c r="AA13" s="13"/>
    </row>
    <row r="14" spans="1:27" ht="30" x14ac:dyDescent="0.25">
      <c r="A14" s="11" t="s">
        <v>2678</v>
      </c>
      <c r="B14" s="12" t="s">
        <v>2632</v>
      </c>
      <c r="C14" s="11" t="s">
        <v>186</v>
      </c>
      <c r="D14" s="11" t="s">
        <v>2670</v>
      </c>
      <c r="E14" s="11" t="s">
        <v>2679</v>
      </c>
      <c r="F14" s="11" t="s">
        <v>237</v>
      </c>
      <c r="G14" s="11" t="s">
        <v>94</v>
      </c>
      <c r="H14" s="11"/>
      <c r="I14" s="11" t="s">
        <v>2680</v>
      </c>
      <c r="J14" s="11" t="s">
        <v>2681</v>
      </c>
      <c r="K14" s="11"/>
      <c r="L14" s="11" t="s">
        <v>70</v>
      </c>
      <c r="M14" s="11" t="s">
        <v>71</v>
      </c>
      <c r="N14" s="11" t="s">
        <v>72</v>
      </c>
      <c r="O14" s="11" t="s">
        <v>19</v>
      </c>
      <c r="P14" s="13"/>
      <c r="Q14" s="13"/>
      <c r="R14" s="13"/>
      <c r="S14" s="13"/>
      <c r="T14" s="11" t="s">
        <v>19</v>
      </c>
      <c r="U14" s="13"/>
      <c r="V14" s="13"/>
      <c r="W14" s="13"/>
      <c r="X14" s="13"/>
      <c r="Y14" s="13"/>
      <c r="Z14" s="13"/>
      <c r="AA14" s="13"/>
    </row>
  </sheetData>
  <autoFilter ref="A1:AA1" xr:uid="{00000000-0009-0000-0000-000009000000}"/>
  <mergeCells count="3">
    <mergeCell ref="A11:AA11"/>
    <mergeCell ref="A9:AA9"/>
    <mergeCell ref="A2:AA2"/>
  </mergeCells>
  <dataValidations count="4">
    <dataValidation type="list" allowBlank="1" sqref="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9" xr:uid="{00000000-0002-0000-0900-000000000000}">
      <formula1>"Add new,Update,Delete"</formula1>
    </dataValidation>
    <dataValidation type="list" allowBlank="1"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9" xr:uid="{00000000-0002-0000-0900-000001000000}">
      <formula1>"By AI,By Manual"</formula1>
    </dataValidation>
    <dataValidation type="list" allowBlank="1" sqref="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9" xr:uid="{00000000-0002-0000-0900-000002000000}">
      <formula1>"Auto,Manual"</formula1>
    </dataValidation>
    <dataValidation type="list" allowBlank="1" sqref="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9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T201 T202 T203 T204 T205 T206 T207 T209" xr:uid="{00000000-0002-0000-0900-000003000000}">
      <formula1>"Untested,Pass,Fail,N/A"</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81"/>
  <sheetViews>
    <sheetView topLeftCell="G1" workbookViewId="0">
      <pane ySplit="1" topLeftCell="A12" activePane="bottomLeft" state="frozen"/>
      <selection pane="bottomLeft" activeCell="I12" sqref="I12"/>
    </sheetView>
  </sheetViews>
  <sheetFormatPr defaultRowHeight="15" x14ac:dyDescent="0.25"/>
  <cols>
    <col min="1" max="1" width="5" customWidth="1"/>
    <col min="2" max="2" width="16" customWidth="1"/>
    <col min="3" max="3" width="35" customWidth="1"/>
    <col min="4" max="4" width="16" customWidth="1"/>
    <col min="5" max="5" width="80" customWidth="1"/>
    <col min="6" max="6" width="35" customWidth="1"/>
    <col min="7" max="7" width="45" customWidth="1"/>
    <col min="8" max="8" width="10" customWidth="1"/>
    <col min="9" max="10" width="16" customWidth="1"/>
    <col min="11" max="11" width="14" customWidth="1"/>
    <col min="12" max="12" width="22" customWidth="1"/>
    <col min="13" max="14" width="35" customWidth="1"/>
  </cols>
  <sheetData>
    <row r="1" spans="1:14" ht="35.1" customHeight="1" x14ac:dyDescent="0.25">
      <c r="A1" s="8" t="s">
        <v>2682</v>
      </c>
      <c r="B1" s="8" t="s">
        <v>33</v>
      </c>
      <c r="C1" s="8" t="s">
        <v>3441</v>
      </c>
      <c r="D1" s="8" t="s">
        <v>3442</v>
      </c>
      <c r="E1" s="8" t="s">
        <v>3443</v>
      </c>
      <c r="F1" s="8" t="s">
        <v>3444</v>
      </c>
      <c r="G1" s="8" t="s">
        <v>3445</v>
      </c>
      <c r="H1" s="8" t="s">
        <v>2697</v>
      </c>
      <c r="I1" s="14" t="s">
        <v>3237</v>
      </c>
      <c r="J1" s="15" t="s">
        <v>3238</v>
      </c>
      <c r="K1" s="8" t="s">
        <v>3446</v>
      </c>
      <c r="L1" s="8" t="s">
        <v>3447</v>
      </c>
      <c r="M1" s="8" t="s">
        <v>3448</v>
      </c>
      <c r="N1" s="10" t="s">
        <v>59</v>
      </c>
    </row>
    <row r="2" spans="1:14" ht="27.95" customHeight="1" x14ac:dyDescent="0.25">
      <c r="A2" s="66" t="s">
        <v>3449</v>
      </c>
      <c r="B2" s="54"/>
      <c r="C2" s="54"/>
      <c r="D2" s="54"/>
      <c r="E2" s="54"/>
      <c r="F2" s="54"/>
      <c r="G2" s="54"/>
      <c r="H2" s="54"/>
      <c r="I2" s="54"/>
      <c r="J2" s="54"/>
      <c r="K2" s="54"/>
      <c r="L2" s="54"/>
      <c r="M2" s="55"/>
    </row>
    <row r="3" spans="1:14" ht="195" customHeight="1" x14ac:dyDescent="0.25">
      <c r="A3" s="32">
        <v>1</v>
      </c>
      <c r="B3" s="34" t="s">
        <v>3450</v>
      </c>
      <c r="C3" s="43" t="s">
        <v>3451</v>
      </c>
      <c r="D3" s="44" t="s">
        <v>3452</v>
      </c>
      <c r="E3" s="33" t="s">
        <v>3453</v>
      </c>
      <c r="F3" s="45" t="s">
        <v>3454</v>
      </c>
      <c r="G3" s="33" t="s">
        <v>3455</v>
      </c>
      <c r="H3" s="37" t="s">
        <v>2774</v>
      </c>
      <c r="I3" s="38"/>
      <c r="J3" s="39"/>
      <c r="K3" s="33"/>
      <c r="L3" s="33"/>
      <c r="M3" s="33"/>
      <c r="N3" s="13"/>
    </row>
    <row r="4" spans="1:14" ht="150" customHeight="1" x14ac:dyDescent="0.25">
      <c r="A4" s="32">
        <v>2</v>
      </c>
      <c r="B4" s="34" t="s">
        <v>3456</v>
      </c>
      <c r="C4" s="43" t="s">
        <v>3457</v>
      </c>
      <c r="D4" s="44" t="s">
        <v>3452</v>
      </c>
      <c r="E4" s="33" t="s">
        <v>3458</v>
      </c>
      <c r="F4" s="45" t="s">
        <v>3459</v>
      </c>
      <c r="G4" s="33" t="s">
        <v>3460</v>
      </c>
      <c r="H4" s="37" t="s">
        <v>2774</v>
      </c>
      <c r="I4" s="38"/>
      <c r="J4" s="39"/>
      <c r="K4" s="33"/>
      <c r="L4" s="33"/>
      <c r="M4" s="33"/>
      <c r="N4" s="13"/>
    </row>
    <row r="5" spans="1:14" ht="135" customHeight="1" x14ac:dyDescent="0.25">
      <c r="A5" s="32">
        <v>3</v>
      </c>
      <c r="B5" s="34" t="s">
        <v>3461</v>
      </c>
      <c r="C5" s="43" t="s">
        <v>3462</v>
      </c>
      <c r="D5" s="44" t="s">
        <v>3452</v>
      </c>
      <c r="E5" s="33" t="s">
        <v>3463</v>
      </c>
      <c r="F5" s="45" t="s">
        <v>3464</v>
      </c>
      <c r="G5" s="33" t="s">
        <v>3465</v>
      </c>
      <c r="H5" s="37" t="s">
        <v>2774</v>
      </c>
      <c r="I5" s="38"/>
      <c r="J5" s="39"/>
      <c r="K5" s="33"/>
      <c r="L5" s="33"/>
      <c r="M5" s="33"/>
      <c r="N5" s="13"/>
    </row>
    <row r="6" spans="1:14" ht="27.95" customHeight="1" x14ac:dyDescent="0.25">
      <c r="A6" s="53" t="s">
        <v>3466</v>
      </c>
      <c r="B6" s="54"/>
      <c r="C6" s="54"/>
      <c r="D6" s="54"/>
      <c r="E6" s="54"/>
      <c r="F6" s="54"/>
      <c r="G6" s="54"/>
      <c r="H6" s="54"/>
      <c r="I6" s="54"/>
      <c r="J6" s="54"/>
      <c r="K6" s="54"/>
      <c r="L6" s="54"/>
      <c r="M6" s="55"/>
      <c r="N6" s="13"/>
    </row>
    <row r="7" spans="1:14" ht="135" customHeight="1" x14ac:dyDescent="0.25">
      <c r="A7" s="32">
        <v>4</v>
      </c>
      <c r="B7" s="34" t="s">
        <v>3467</v>
      </c>
      <c r="C7" s="43" t="s">
        <v>3468</v>
      </c>
      <c r="D7" s="42" t="s">
        <v>3469</v>
      </c>
      <c r="E7" s="33" t="s">
        <v>3470</v>
      </c>
      <c r="F7" s="45" t="s">
        <v>3471</v>
      </c>
      <c r="G7" s="33" t="s">
        <v>3472</v>
      </c>
      <c r="H7" s="37" t="s">
        <v>2774</v>
      </c>
      <c r="I7" s="38"/>
      <c r="J7" s="39"/>
      <c r="K7" s="33"/>
      <c r="L7" s="33"/>
      <c r="M7" s="33"/>
      <c r="N7" s="13"/>
    </row>
    <row r="8" spans="1:14" ht="120" customHeight="1" x14ac:dyDescent="0.25">
      <c r="A8" s="32">
        <v>5</v>
      </c>
      <c r="B8" s="34" t="s">
        <v>3473</v>
      </c>
      <c r="C8" s="43" t="s">
        <v>3474</v>
      </c>
      <c r="D8" s="42" t="s">
        <v>3469</v>
      </c>
      <c r="E8" s="33" t="s">
        <v>3475</v>
      </c>
      <c r="F8" s="45" t="s">
        <v>3476</v>
      </c>
      <c r="G8" s="33" t="s">
        <v>3477</v>
      </c>
      <c r="H8" s="37" t="s">
        <v>2774</v>
      </c>
      <c r="I8" s="38"/>
      <c r="J8" s="39"/>
      <c r="K8" s="33"/>
      <c r="L8" s="33"/>
      <c r="M8" s="33"/>
      <c r="N8" s="13"/>
    </row>
    <row r="9" spans="1:14" ht="105" customHeight="1" x14ac:dyDescent="0.25">
      <c r="A9" s="32">
        <v>6</v>
      </c>
      <c r="B9" s="34" t="s">
        <v>3478</v>
      </c>
      <c r="C9" s="43" t="s">
        <v>3479</v>
      </c>
      <c r="D9" s="42" t="s">
        <v>3469</v>
      </c>
      <c r="E9" s="33" t="s">
        <v>3480</v>
      </c>
      <c r="F9" s="45" t="s">
        <v>3481</v>
      </c>
      <c r="G9" s="33" t="s">
        <v>3482</v>
      </c>
      <c r="H9" s="40" t="s">
        <v>2723</v>
      </c>
      <c r="I9" s="38"/>
      <c r="J9" s="39"/>
      <c r="K9" s="33"/>
      <c r="L9" s="33"/>
      <c r="M9" s="33"/>
      <c r="N9" s="13"/>
    </row>
    <row r="10" spans="1:14" ht="120" customHeight="1" x14ac:dyDescent="0.25">
      <c r="A10" s="32">
        <v>7</v>
      </c>
      <c r="B10" s="34" t="s">
        <v>3483</v>
      </c>
      <c r="C10" s="43" t="s">
        <v>3484</v>
      </c>
      <c r="D10" s="42" t="s">
        <v>3485</v>
      </c>
      <c r="E10" s="33" t="s">
        <v>3486</v>
      </c>
      <c r="F10" s="45" t="s">
        <v>3487</v>
      </c>
      <c r="G10" s="33" t="s">
        <v>3488</v>
      </c>
      <c r="H10" s="37" t="s">
        <v>2774</v>
      </c>
      <c r="I10" s="38"/>
      <c r="J10" s="39"/>
      <c r="K10" s="33"/>
      <c r="L10" s="33"/>
      <c r="M10" s="33"/>
      <c r="N10" s="13"/>
    </row>
    <row r="11" spans="1:14" ht="105" customHeight="1" x14ac:dyDescent="0.25">
      <c r="A11" s="32">
        <v>8</v>
      </c>
      <c r="B11" s="34" t="s">
        <v>3489</v>
      </c>
      <c r="C11" s="43" t="s">
        <v>3490</v>
      </c>
      <c r="D11" s="42" t="s">
        <v>3485</v>
      </c>
      <c r="E11" s="33" t="s">
        <v>3491</v>
      </c>
      <c r="F11" s="45" t="s">
        <v>3492</v>
      </c>
      <c r="G11" s="33" t="s">
        <v>3493</v>
      </c>
      <c r="H11" s="37" t="s">
        <v>2774</v>
      </c>
      <c r="I11" s="38"/>
      <c r="J11" s="39"/>
      <c r="K11" s="33"/>
      <c r="L11" s="33"/>
      <c r="M11" s="33"/>
      <c r="N11" s="13"/>
    </row>
    <row r="12" spans="1:14" ht="90" customHeight="1" x14ac:dyDescent="0.25">
      <c r="A12" s="32">
        <v>9</v>
      </c>
      <c r="B12" s="34" t="s">
        <v>3494</v>
      </c>
      <c r="C12" s="43" t="s">
        <v>3495</v>
      </c>
      <c r="D12" s="42" t="s">
        <v>3485</v>
      </c>
      <c r="E12" s="33" t="s">
        <v>3496</v>
      </c>
      <c r="F12" s="45" t="s">
        <v>3497</v>
      </c>
      <c r="G12" s="33" t="s">
        <v>3498</v>
      </c>
      <c r="H12" s="40" t="s">
        <v>2723</v>
      </c>
      <c r="I12" s="38" t="s">
        <v>19</v>
      </c>
      <c r="J12" s="39"/>
      <c r="K12" s="33"/>
      <c r="L12" s="33"/>
      <c r="M12" s="33" t="s">
        <v>3499</v>
      </c>
      <c r="N12" s="13"/>
    </row>
    <row r="13" spans="1:14" ht="27.95" customHeight="1" x14ac:dyDescent="0.25">
      <c r="A13" s="57" t="s">
        <v>3500</v>
      </c>
      <c r="B13" s="54"/>
      <c r="C13" s="54"/>
      <c r="D13" s="54"/>
      <c r="E13" s="54"/>
      <c r="F13" s="54"/>
      <c r="G13" s="54"/>
      <c r="H13" s="54"/>
      <c r="I13" s="54"/>
      <c r="J13" s="54"/>
      <c r="K13" s="54"/>
      <c r="L13" s="54"/>
      <c r="M13" s="55"/>
      <c r="N13" s="13"/>
    </row>
    <row r="14" spans="1:14" ht="120" customHeight="1" x14ac:dyDescent="0.25">
      <c r="A14" s="32">
        <v>10</v>
      </c>
      <c r="B14" s="34" t="s">
        <v>3501</v>
      </c>
      <c r="C14" s="43" t="s">
        <v>3502</v>
      </c>
      <c r="D14" s="46" t="s">
        <v>3503</v>
      </c>
      <c r="E14" s="33" t="s">
        <v>3504</v>
      </c>
      <c r="F14" s="45" t="s">
        <v>3505</v>
      </c>
      <c r="G14" s="33" t="s">
        <v>3506</v>
      </c>
      <c r="H14" s="37" t="s">
        <v>2774</v>
      </c>
      <c r="I14" s="38"/>
      <c r="J14" s="39"/>
      <c r="K14" s="33"/>
      <c r="L14" s="33"/>
      <c r="M14" s="33"/>
      <c r="N14" s="13"/>
    </row>
    <row r="15" spans="1:14" ht="90" customHeight="1" x14ac:dyDescent="0.25">
      <c r="A15" s="32">
        <v>11</v>
      </c>
      <c r="B15" s="34" t="s">
        <v>3507</v>
      </c>
      <c r="C15" s="43" t="s">
        <v>3508</v>
      </c>
      <c r="D15" s="46" t="s">
        <v>3503</v>
      </c>
      <c r="E15" s="33" t="s">
        <v>3509</v>
      </c>
      <c r="F15" s="45" t="s">
        <v>3510</v>
      </c>
      <c r="G15" s="33" t="s">
        <v>3511</v>
      </c>
      <c r="H15" s="40" t="s">
        <v>2723</v>
      </c>
      <c r="I15" s="38"/>
      <c r="J15" s="39"/>
      <c r="K15" s="33"/>
      <c r="L15" s="33"/>
      <c r="M15" s="33" t="s">
        <v>3512</v>
      </c>
      <c r="N15" s="13"/>
    </row>
    <row r="16" spans="1:14" ht="120" customHeight="1" x14ac:dyDescent="0.25">
      <c r="A16" s="32">
        <v>12</v>
      </c>
      <c r="B16" s="34" t="s">
        <v>3513</v>
      </c>
      <c r="C16" s="43" t="s">
        <v>3514</v>
      </c>
      <c r="D16" s="47" t="s">
        <v>3515</v>
      </c>
      <c r="E16" s="33" t="s">
        <v>3516</v>
      </c>
      <c r="F16" s="45" t="s">
        <v>3517</v>
      </c>
      <c r="G16" s="33" t="s">
        <v>3518</v>
      </c>
      <c r="H16" s="37" t="s">
        <v>2774</v>
      </c>
      <c r="I16" s="38"/>
      <c r="J16" s="39"/>
      <c r="K16" s="33"/>
      <c r="L16" s="33"/>
      <c r="M16" s="33"/>
      <c r="N16" s="13"/>
    </row>
    <row r="17" spans="1:14" ht="105" customHeight="1" x14ac:dyDescent="0.25">
      <c r="A17" s="32">
        <v>13</v>
      </c>
      <c r="B17" s="34" t="s">
        <v>3519</v>
      </c>
      <c r="C17" s="43" t="s">
        <v>3520</v>
      </c>
      <c r="D17" s="48" t="s">
        <v>3521</v>
      </c>
      <c r="E17" s="33" t="s">
        <v>3522</v>
      </c>
      <c r="F17" s="45" t="s">
        <v>3523</v>
      </c>
      <c r="G17" s="33" t="s">
        <v>3524</v>
      </c>
      <c r="H17" s="37" t="s">
        <v>2774</v>
      </c>
      <c r="I17" s="38"/>
      <c r="J17" s="39"/>
      <c r="K17" s="33"/>
      <c r="L17" s="33"/>
      <c r="M17" s="33"/>
      <c r="N17" s="13"/>
    </row>
    <row r="18" spans="1:14" ht="90" customHeight="1" x14ac:dyDescent="0.25">
      <c r="A18" s="32">
        <v>14</v>
      </c>
      <c r="B18" s="34" t="s">
        <v>3525</v>
      </c>
      <c r="C18" s="43" t="s">
        <v>3526</v>
      </c>
      <c r="D18" s="49" t="s">
        <v>3527</v>
      </c>
      <c r="E18" s="33" t="s">
        <v>3528</v>
      </c>
      <c r="F18" s="45" t="s">
        <v>3529</v>
      </c>
      <c r="G18" s="33" t="s">
        <v>3530</v>
      </c>
      <c r="H18" s="40" t="s">
        <v>2723</v>
      </c>
      <c r="I18" s="38"/>
      <c r="J18" s="39"/>
      <c r="K18" s="33"/>
      <c r="L18" s="33"/>
      <c r="M18" s="33" t="s">
        <v>3531</v>
      </c>
      <c r="N18" s="13"/>
    </row>
    <row r="19" spans="1:14" ht="27.95" customHeight="1" x14ac:dyDescent="0.25">
      <c r="A19" s="63" t="s">
        <v>3532</v>
      </c>
      <c r="B19" s="54"/>
      <c r="C19" s="54"/>
      <c r="D19" s="54"/>
      <c r="E19" s="54"/>
      <c r="F19" s="54"/>
      <c r="G19" s="54"/>
      <c r="H19" s="54"/>
      <c r="I19" s="54"/>
      <c r="J19" s="54"/>
      <c r="K19" s="54"/>
      <c r="L19" s="54"/>
      <c r="M19" s="55"/>
      <c r="N19" s="13"/>
    </row>
    <row r="20" spans="1:14" ht="90" customHeight="1" x14ac:dyDescent="0.25">
      <c r="A20" s="32">
        <v>15</v>
      </c>
      <c r="B20" s="34" t="s">
        <v>3533</v>
      </c>
      <c r="C20" s="43" t="s">
        <v>3534</v>
      </c>
      <c r="D20" s="35" t="s">
        <v>3535</v>
      </c>
      <c r="E20" s="33" t="s">
        <v>3536</v>
      </c>
      <c r="F20" s="45" t="s">
        <v>3537</v>
      </c>
      <c r="G20" s="33" t="s">
        <v>3538</v>
      </c>
      <c r="H20" s="37" t="s">
        <v>2774</v>
      </c>
      <c r="I20" s="38"/>
      <c r="J20" s="39"/>
      <c r="K20" s="33"/>
      <c r="L20" s="33"/>
      <c r="M20" s="33"/>
      <c r="N20" s="13"/>
    </row>
    <row r="21" spans="1:14" ht="60" customHeight="1" x14ac:dyDescent="0.25">
      <c r="A21" s="32">
        <v>16</v>
      </c>
      <c r="B21" s="34" t="s">
        <v>3539</v>
      </c>
      <c r="C21" s="43" t="s">
        <v>3540</v>
      </c>
      <c r="D21" s="35" t="s">
        <v>3535</v>
      </c>
      <c r="E21" s="33" t="s">
        <v>3541</v>
      </c>
      <c r="F21" s="45" t="s">
        <v>3542</v>
      </c>
      <c r="G21" s="33" t="s">
        <v>3543</v>
      </c>
      <c r="H21" s="37" t="s">
        <v>2774</v>
      </c>
      <c r="I21" s="38"/>
      <c r="J21" s="39"/>
      <c r="K21" s="33"/>
      <c r="L21" s="33"/>
      <c r="M21" s="33"/>
      <c r="N21" s="13"/>
    </row>
    <row r="22" spans="1:14" ht="60" customHeight="1" x14ac:dyDescent="0.25">
      <c r="A22" s="32">
        <v>17</v>
      </c>
      <c r="B22" s="34" t="s">
        <v>3544</v>
      </c>
      <c r="C22" s="43" t="s">
        <v>3545</v>
      </c>
      <c r="D22" s="35" t="s">
        <v>3535</v>
      </c>
      <c r="E22" s="33" t="s">
        <v>3546</v>
      </c>
      <c r="F22" s="45" t="s">
        <v>3547</v>
      </c>
      <c r="G22" s="33" t="s">
        <v>3548</v>
      </c>
      <c r="H22" s="40" t="s">
        <v>2723</v>
      </c>
      <c r="I22" s="38"/>
      <c r="J22" s="39"/>
      <c r="K22" s="33"/>
      <c r="L22" s="33"/>
      <c r="M22" s="33"/>
      <c r="N22" s="13"/>
    </row>
    <row r="23" spans="1:14" ht="75" customHeight="1" x14ac:dyDescent="0.25">
      <c r="A23" s="32">
        <v>18</v>
      </c>
      <c r="B23" s="34" t="s">
        <v>3549</v>
      </c>
      <c r="C23" s="43" t="s">
        <v>3550</v>
      </c>
      <c r="D23" s="50" t="s">
        <v>3551</v>
      </c>
      <c r="E23" s="33" t="s">
        <v>3552</v>
      </c>
      <c r="F23" s="45" t="s">
        <v>3553</v>
      </c>
      <c r="G23" s="33" t="s">
        <v>3554</v>
      </c>
      <c r="H23" s="37" t="s">
        <v>2774</v>
      </c>
      <c r="I23" s="38"/>
      <c r="J23" s="39"/>
      <c r="K23" s="33"/>
      <c r="L23" s="33"/>
      <c r="M23" s="33"/>
    </row>
    <row r="24" spans="1:14" ht="27.95" customHeight="1" x14ac:dyDescent="0.25">
      <c r="A24" s="58" t="s">
        <v>3555</v>
      </c>
      <c r="B24" s="54"/>
      <c r="C24" s="54"/>
      <c r="D24" s="54"/>
      <c r="E24" s="54"/>
      <c r="F24" s="54"/>
      <c r="G24" s="54"/>
      <c r="H24" s="54"/>
      <c r="I24" s="54"/>
      <c r="J24" s="54"/>
      <c r="K24" s="54"/>
      <c r="L24" s="54"/>
      <c r="M24" s="55"/>
      <c r="N24" s="13"/>
    </row>
    <row r="25" spans="1:14" ht="90" customHeight="1" x14ac:dyDescent="0.25">
      <c r="A25" s="32">
        <v>19</v>
      </c>
      <c r="B25" s="34" t="s">
        <v>3556</v>
      </c>
      <c r="C25" s="43" t="s">
        <v>3557</v>
      </c>
      <c r="D25" s="48" t="s">
        <v>3558</v>
      </c>
      <c r="E25" s="33" t="s">
        <v>3559</v>
      </c>
      <c r="F25" s="45" t="s">
        <v>3560</v>
      </c>
      <c r="G25" s="33" t="s">
        <v>3561</v>
      </c>
      <c r="H25" s="37" t="s">
        <v>2774</v>
      </c>
      <c r="I25" s="38"/>
      <c r="J25" s="39"/>
      <c r="K25" s="33"/>
      <c r="L25" s="33"/>
      <c r="M25" s="33"/>
      <c r="N25" s="13"/>
    </row>
    <row r="26" spans="1:14" ht="75" customHeight="1" x14ac:dyDescent="0.25">
      <c r="A26" s="32">
        <v>20</v>
      </c>
      <c r="B26" s="34" t="s">
        <v>3562</v>
      </c>
      <c r="C26" s="43" t="s">
        <v>3563</v>
      </c>
      <c r="D26" s="48" t="s">
        <v>3558</v>
      </c>
      <c r="E26" s="33" t="s">
        <v>3564</v>
      </c>
      <c r="F26" s="45" t="s">
        <v>3565</v>
      </c>
      <c r="G26" s="33" t="s">
        <v>3566</v>
      </c>
      <c r="H26" s="40" t="s">
        <v>2723</v>
      </c>
      <c r="I26" s="38"/>
      <c r="J26" s="39"/>
      <c r="K26" s="33"/>
      <c r="L26" s="33"/>
      <c r="M26" s="33"/>
      <c r="N26" s="13"/>
    </row>
    <row r="27" spans="1:14" ht="75" customHeight="1" x14ac:dyDescent="0.25">
      <c r="A27" s="32">
        <v>21</v>
      </c>
      <c r="B27" s="34" t="s">
        <v>3567</v>
      </c>
      <c r="C27" s="43" t="s">
        <v>3568</v>
      </c>
      <c r="D27" s="48" t="s">
        <v>3558</v>
      </c>
      <c r="E27" s="33" t="s">
        <v>3569</v>
      </c>
      <c r="F27" s="45" t="s">
        <v>3570</v>
      </c>
      <c r="G27" s="33" t="s">
        <v>3571</v>
      </c>
      <c r="H27" s="40" t="s">
        <v>2723</v>
      </c>
      <c r="I27" s="38"/>
      <c r="J27" s="39"/>
      <c r="K27" s="33"/>
      <c r="L27" s="33"/>
      <c r="M27" s="33"/>
      <c r="N27" s="13"/>
    </row>
    <row r="28" spans="1:14" ht="27.95" customHeight="1" x14ac:dyDescent="0.25">
      <c r="A28" s="56" t="s">
        <v>3572</v>
      </c>
      <c r="B28" s="54"/>
      <c r="C28" s="54"/>
      <c r="D28" s="54"/>
      <c r="E28" s="54"/>
      <c r="F28" s="54"/>
      <c r="G28" s="54"/>
      <c r="H28" s="54"/>
      <c r="I28" s="54"/>
      <c r="J28" s="54"/>
      <c r="K28" s="54"/>
      <c r="L28" s="54"/>
      <c r="M28" s="55"/>
      <c r="N28" s="13"/>
    </row>
    <row r="29" spans="1:14" ht="90" customHeight="1" x14ac:dyDescent="0.25">
      <c r="A29" s="32">
        <v>22</v>
      </c>
      <c r="B29" s="34" t="s">
        <v>3573</v>
      </c>
      <c r="C29" s="43" t="s">
        <v>3574</v>
      </c>
      <c r="D29" s="50" t="s">
        <v>3575</v>
      </c>
      <c r="E29" s="33" t="s">
        <v>3576</v>
      </c>
      <c r="F29" s="45" t="s">
        <v>3577</v>
      </c>
      <c r="G29" s="33" t="s">
        <v>3578</v>
      </c>
      <c r="H29" s="37" t="s">
        <v>2774</v>
      </c>
      <c r="I29" s="38"/>
      <c r="J29" s="39"/>
      <c r="K29" s="33"/>
      <c r="L29" s="33"/>
      <c r="M29" s="33"/>
      <c r="N29" s="13"/>
    </row>
    <row r="30" spans="1:14" ht="60" customHeight="1" x14ac:dyDescent="0.25">
      <c r="A30" s="32">
        <v>23</v>
      </c>
      <c r="B30" s="34" t="s">
        <v>3579</v>
      </c>
      <c r="C30" s="43" t="s">
        <v>3580</v>
      </c>
      <c r="D30" s="50" t="s">
        <v>3581</v>
      </c>
      <c r="E30" s="33" t="s">
        <v>3582</v>
      </c>
      <c r="F30" s="45" t="s">
        <v>3583</v>
      </c>
      <c r="G30" s="33" t="s">
        <v>3584</v>
      </c>
      <c r="H30" s="40" t="s">
        <v>2723</v>
      </c>
      <c r="I30" s="38"/>
      <c r="J30" s="39"/>
      <c r="K30" s="33"/>
      <c r="L30" s="33"/>
      <c r="M30" s="33"/>
      <c r="N30" s="13"/>
    </row>
    <row r="31" spans="1:14" ht="27.95" customHeight="1" x14ac:dyDescent="0.25">
      <c r="A31" s="64" t="s">
        <v>3585</v>
      </c>
      <c r="B31" s="54"/>
      <c r="C31" s="54"/>
      <c r="D31" s="54"/>
      <c r="E31" s="54"/>
      <c r="F31" s="54"/>
      <c r="G31" s="54"/>
      <c r="H31" s="54"/>
      <c r="I31" s="54"/>
      <c r="J31" s="54"/>
      <c r="K31" s="54"/>
      <c r="L31" s="54"/>
      <c r="M31" s="55"/>
      <c r="N31" s="13"/>
    </row>
    <row r="32" spans="1:14" ht="90" customHeight="1" x14ac:dyDescent="0.25">
      <c r="A32" s="32">
        <v>24</v>
      </c>
      <c r="B32" s="34" t="s">
        <v>3586</v>
      </c>
      <c r="C32" s="43" t="s">
        <v>3587</v>
      </c>
      <c r="D32" s="41" t="s">
        <v>3588</v>
      </c>
      <c r="E32" s="33" t="s">
        <v>3589</v>
      </c>
      <c r="F32" s="45" t="s">
        <v>3590</v>
      </c>
      <c r="G32" s="33" t="s">
        <v>3591</v>
      </c>
      <c r="H32" s="40" t="s">
        <v>2723</v>
      </c>
      <c r="I32" s="38"/>
      <c r="J32" s="39"/>
      <c r="K32" s="33"/>
      <c r="L32" s="33"/>
      <c r="M32" s="33"/>
      <c r="N32" s="13"/>
    </row>
    <row r="33" spans="1:14" ht="75" customHeight="1" x14ac:dyDescent="0.25">
      <c r="A33" s="32">
        <v>25</v>
      </c>
      <c r="B33" s="34" t="s">
        <v>3592</v>
      </c>
      <c r="C33" s="43" t="s">
        <v>3593</v>
      </c>
      <c r="D33" s="41" t="s">
        <v>3588</v>
      </c>
      <c r="E33" s="33" t="s">
        <v>3594</v>
      </c>
      <c r="F33" s="45" t="s">
        <v>3595</v>
      </c>
      <c r="G33" s="33" t="s">
        <v>3596</v>
      </c>
      <c r="H33" s="40" t="s">
        <v>2723</v>
      </c>
      <c r="I33" s="38"/>
      <c r="J33" s="39"/>
      <c r="K33" s="33"/>
      <c r="L33" s="33"/>
      <c r="M33" s="33"/>
      <c r="N33" s="13"/>
    </row>
    <row r="34" spans="1:14" ht="75" customHeight="1" x14ac:dyDescent="0.25">
      <c r="A34" s="32">
        <v>26</v>
      </c>
      <c r="B34" s="34" t="s">
        <v>3597</v>
      </c>
      <c r="C34" s="43" t="s">
        <v>3598</v>
      </c>
      <c r="D34" s="41" t="s">
        <v>3588</v>
      </c>
      <c r="E34" s="33" t="s">
        <v>3599</v>
      </c>
      <c r="F34" s="45" t="s">
        <v>3600</v>
      </c>
      <c r="G34" s="33" t="s">
        <v>3601</v>
      </c>
      <c r="H34" s="40" t="s">
        <v>2723</v>
      </c>
      <c r="I34" s="38"/>
      <c r="J34" s="39"/>
      <c r="K34" s="33"/>
      <c r="L34" s="33"/>
      <c r="M34" s="33"/>
      <c r="N34" s="13"/>
    </row>
    <row r="35" spans="1:14" ht="75" customHeight="1" x14ac:dyDescent="0.25">
      <c r="A35" s="32">
        <v>27</v>
      </c>
      <c r="B35" s="34" t="s">
        <v>3602</v>
      </c>
      <c r="C35" s="43" t="s">
        <v>3603</v>
      </c>
      <c r="D35" s="41" t="s">
        <v>3588</v>
      </c>
      <c r="E35" s="33" t="s">
        <v>3604</v>
      </c>
      <c r="F35" s="45" t="s">
        <v>3605</v>
      </c>
      <c r="G35" s="33" t="s">
        <v>3606</v>
      </c>
      <c r="H35" s="37" t="s">
        <v>2774</v>
      </c>
      <c r="I35" s="38"/>
      <c r="J35" s="39"/>
      <c r="K35" s="33"/>
      <c r="L35" s="33"/>
      <c r="M35" s="33"/>
    </row>
    <row r="36" spans="1:14" ht="90" customHeight="1" x14ac:dyDescent="0.25">
      <c r="A36" s="32">
        <v>28</v>
      </c>
      <c r="B36" s="34" t="s">
        <v>3607</v>
      </c>
      <c r="C36" s="43" t="s">
        <v>3608</v>
      </c>
      <c r="D36" s="41" t="s">
        <v>3588</v>
      </c>
      <c r="E36" s="33" t="s">
        <v>3609</v>
      </c>
      <c r="F36" s="45" t="s">
        <v>3610</v>
      </c>
      <c r="G36" s="33" t="s">
        <v>3611</v>
      </c>
      <c r="H36" s="37" t="s">
        <v>2774</v>
      </c>
      <c r="I36" s="38"/>
      <c r="J36" s="39"/>
      <c r="K36" s="33"/>
      <c r="L36" s="33"/>
      <c r="M36" s="33"/>
      <c r="N36" s="13"/>
    </row>
    <row r="37" spans="1:14" ht="27.95" customHeight="1" x14ac:dyDescent="0.25">
      <c r="A37" s="65" t="s">
        <v>3612</v>
      </c>
      <c r="B37" s="54"/>
      <c r="C37" s="54"/>
      <c r="D37" s="54"/>
      <c r="E37" s="54"/>
      <c r="F37" s="54"/>
      <c r="G37" s="54"/>
      <c r="H37" s="54"/>
      <c r="I37" s="54"/>
      <c r="J37" s="54"/>
      <c r="K37" s="54"/>
      <c r="L37" s="54"/>
      <c r="M37" s="55"/>
      <c r="N37" s="13"/>
    </row>
    <row r="38" spans="1:14" ht="60" customHeight="1" x14ac:dyDescent="0.25">
      <c r="A38" s="32">
        <v>29</v>
      </c>
      <c r="B38" s="34" t="s">
        <v>3613</v>
      </c>
      <c r="C38" s="43" t="s">
        <v>3614</v>
      </c>
      <c r="D38" s="49" t="s">
        <v>3615</v>
      </c>
      <c r="E38" s="33" t="s">
        <v>3616</v>
      </c>
      <c r="F38" s="45" t="s">
        <v>3617</v>
      </c>
      <c r="G38" s="33" t="s">
        <v>3618</v>
      </c>
      <c r="H38" s="40" t="s">
        <v>2723</v>
      </c>
      <c r="I38" s="38"/>
      <c r="J38" s="39"/>
      <c r="K38" s="33"/>
      <c r="L38" s="33"/>
      <c r="M38" s="33"/>
      <c r="N38" s="13"/>
    </row>
    <row r="39" spans="1:14" ht="75" customHeight="1" x14ac:dyDescent="0.25">
      <c r="A39" s="32">
        <v>30</v>
      </c>
      <c r="B39" s="34" t="s">
        <v>3619</v>
      </c>
      <c r="C39" s="43" t="s">
        <v>3620</v>
      </c>
      <c r="D39" s="49" t="s">
        <v>3615</v>
      </c>
      <c r="E39" s="33" t="s">
        <v>3621</v>
      </c>
      <c r="F39" s="45" t="s">
        <v>3622</v>
      </c>
      <c r="G39" s="33" t="s">
        <v>3623</v>
      </c>
      <c r="H39" s="40" t="s">
        <v>2723</v>
      </c>
      <c r="I39" s="38"/>
      <c r="J39" s="39"/>
      <c r="K39" s="33"/>
      <c r="L39" s="33"/>
      <c r="M39" s="33"/>
      <c r="N39" s="13"/>
    </row>
    <row r="40" spans="1:14" ht="75" customHeight="1" x14ac:dyDescent="0.25">
      <c r="A40" s="32">
        <v>31</v>
      </c>
      <c r="B40" s="34" t="s">
        <v>3624</v>
      </c>
      <c r="C40" s="43" t="s">
        <v>3625</v>
      </c>
      <c r="D40" s="49" t="s">
        <v>3615</v>
      </c>
      <c r="E40" s="33" t="s">
        <v>3626</v>
      </c>
      <c r="F40" s="45" t="s">
        <v>3627</v>
      </c>
      <c r="G40" s="33" t="s">
        <v>3628</v>
      </c>
      <c r="H40" s="40" t="s">
        <v>2723</v>
      </c>
      <c r="I40" s="38"/>
      <c r="J40" s="39"/>
      <c r="K40" s="33"/>
      <c r="L40" s="33"/>
      <c r="M40" s="33" t="s">
        <v>3629</v>
      </c>
      <c r="N40" s="13"/>
    </row>
    <row r="41" spans="1:14" ht="60" customHeight="1" x14ac:dyDescent="0.25">
      <c r="A41" s="32">
        <v>32</v>
      </c>
      <c r="B41" s="34" t="s">
        <v>3630</v>
      </c>
      <c r="C41" s="43" t="s">
        <v>3631</v>
      </c>
      <c r="D41" s="49" t="s">
        <v>3615</v>
      </c>
      <c r="E41" s="33" t="s">
        <v>3632</v>
      </c>
      <c r="F41" s="45" t="s">
        <v>3633</v>
      </c>
      <c r="G41" s="33" t="s">
        <v>3634</v>
      </c>
      <c r="H41" s="40" t="s">
        <v>2723</v>
      </c>
      <c r="I41" s="38"/>
      <c r="J41" s="39"/>
      <c r="K41" s="33"/>
      <c r="L41" s="33"/>
      <c r="M41" s="33" t="s">
        <v>3635</v>
      </c>
      <c r="N41" s="13"/>
    </row>
    <row r="42" spans="1:14" x14ac:dyDescent="0.25">
      <c r="N42" s="13"/>
    </row>
    <row r="43" spans="1:14" ht="18.75" x14ac:dyDescent="0.3">
      <c r="A43" s="62" t="s">
        <v>3636</v>
      </c>
      <c r="B43" s="52"/>
      <c r="C43" s="52"/>
      <c r="D43" s="52"/>
      <c r="E43" s="52"/>
      <c r="F43" s="52"/>
      <c r="N43" s="13"/>
    </row>
    <row r="44" spans="1:14" x14ac:dyDescent="0.25">
      <c r="A44" s="30" t="s">
        <v>3637</v>
      </c>
      <c r="B44" s="31">
        <v>32</v>
      </c>
      <c r="N44" s="13"/>
    </row>
    <row r="45" spans="1:14" x14ac:dyDescent="0.25">
      <c r="A45" s="30" t="s">
        <v>3638</v>
      </c>
      <c r="B45" s="31">
        <v>8</v>
      </c>
      <c r="N45" s="13"/>
    </row>
    <row r="46" spans="1:14" x14ac:dyDescent="0.25">
      <c r="A46" s="30" t="s">
        <v>3639</v>
      </c>
      <c r="B46" s="31">
        <v>17</v>
      </c>
      <c r="N46" s="13"/>
    </row>
    <row r="47" spans="1:14" x14ac:dyDescent="0.25">
      <c r="A47" s="30" t="s">
        <v>3640</v>
      </c>
      <c r="B47" s="31">
        <v>15</v>
      </c>
      <c r="N47" s="13"/>
    </row>
    <row r="48" spans="1:14" x14ac:dyDescent="0.25">
      <c r="N48" s="13"/>
    </row>
    <row r="49" spans="14:14" x14ac:dyDescent="0.25">
      <c r="N49" s="13"/>
    </row>
    <row r="50" spans="14:14" x14ac:dyDescent="0.25">
      <c r="N50" s="13"/>
    </row>
    <row r="51" spans="14:14" x14ac:dyDescent="0.25">
      <c r="N51" s="13"/>
    </row>
    <row r="52" spans="14:14" x14ac:dyDescent="0.25">
      <c r="N52" s="13"/>
    </row>
    <row r="53" spans="14:14" x14ac:dyDescent="0.25">
      <c r="N53" s="13"/>
    </row>
    <row r="54" spans="14:14" x14ac:dyDescent="0.25">
      <c r="N54" s="13"/>
    </row>
    <row r="55" spans="14:14" x14ac:dyDescent="0.25">
      <c r="N55" s="13"/>
    </row>
    <row r="56" spans="14:14" x14ac:dyDescent="0.25">
      <c r="N56" s="13"/>
    </row>
    <row r="57" spans="14:14" x14ac:dyDescent="0.25">
      <c r="N57" s="13"/>
    </row>
    <row r="58" spans="14:14" x14ac:dyDescent="0.25">
      <c r="N58" s="13"/>
    </row>
    <row r="59" spans="14:14" x14ac:dyDescent="0.25">
      <c r="N59" s="13"/>
    </row>
    <row r="60" spans="14:14" x14ac:dyDescent="0.25">
      <c r="N60" s="13"/>
    </row>
    <row r="61" spans="14:14" x14ac:dyDescent="0.25">
      <c r="N61" s="13"/>
    </row>
    <row r="62" spans="14:14" x14ac:dyDescent="0.25">
      <c r="N62" s="13"/>
    </row>
    <row r="63" spans="14:14" x14ac:dyDescent="0.25">
      <c r="N63" s="13"/>
    </row>
    <row r="64" spans="14:14" x14ac:dyDescent="0.25">
      <c r="N64" s="13"/>
    </row>
    <row r="65" spans="14:14" x14ac:dyDescent="0.25">
      <c r="N65" s="13"/>
    </row>
    <row r="66" spans="14:14" x14ac:dyDescent="0.25">
      <c r="N66" s="13"/>
    </row>
    <row r="67" spans="14:14" x14ac:dyDescent="0.25">
      <c r="N67" s="13"/>
    </row>
    <row r="68" spans="14:14" x14ac:dyDescent="0.25">
      <c r="N68" s="13"/>
    </row>
    <row r="69" spans="14:14" x14ac:dyDescent="0.25">
      <c r="N69" s="13"/>
    </row>
    <row r="70" spans="14:14" x14ac:dyDescent="0.25">
      <c r="N70" s="13"/>
    </row>
    <row r="71" spans="14:14" x14ac:dyDescent="0.25">
      <c r="N71" s="13"/>
    </row>
    <row r="72" spans="14:14" x14ac:dyDescent="0.25">
      <c r="N72" s="13"/>
    </row>
    <row r="73" spans="14:14" x14ac:dyDescent="0.25">
      <c r="N73" s="13"/>
    </row>
    <row r="74" spans="14:14" x14ac:dyDescent="0.25">
      <c r="N74" s="13"/>
    </row>
    <row r="75" spans="14:14" x14ac:dyDescent="0.25">
      <c r="N75" s="13"/>
    </row>
    <row r="76" spans="14:14" x14ac:dyDescent="0.25">
      <c r="N76" s="13"/>
    </row>
    <row r="77" spans="14:14" x14ac:dyDescent="0.25">
      <c r="N77" s="13"/>
    </row>
    <row r="78" spans="14:14" x14ac:dyDescent="0.25">
      <c r="N78" s="13"/>
    </row>
    <row r="79" spans="14:14" x14ac:dyDescent="0.25">
      <c r="N79" s="13"/>
    </row>
    <row r="80" spans="14:14" x14ac:dyDescent="0.25">
      <c r="N80" s="13"/>
    </row>
    <row r="81" spans="14:14" x14ac:dyDescent="0.25">
      <c r="N81" s="13"/>
    </row>
  </sheetData>
  <autoFilter ref="A1:M1" xr:uid="{00000000-0009-0000-0000-00000C000000}"/>
  <mergeCells count="9">
    <mergeCell ref="A43:F43"/>
    <mergeCell ref="A24:M24"/>
    <mergeCell ref="A2:M2"/>
    <mergeCell ref="A28:M28"/>
    <mergeCell ref="A13:M13"/>
    <mergeCell ref="A19:M19"/>
    <mergeCell ref="A37:M37"/>
    <mergeCell ref="A31:M31"/>
    <mergeCell ref="A6:M6"/>
  </mergeCells>
  <dataValidations count="1">
    <dataValidation type="list" allowBlank="1" sqref="I3:J5 I7:J12 I14:J18 I20:J23 I25:J27 I29:J30 I32:J36 I38:J41" xr:uid="{00000000-0002-0000-0C00-000000000000}">
      <formula1>"Pass,Fail,N/A,Untested"</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94"/>
  <sheetViews>
    <sheetView workbookViewId="0">
      <pane ySplit="1" topLeftCell="A2" activePane="bottomLeft" state="frozen"/>
      <selection pane="bottomLeft"/>
    </sheetView>
  </sheetViews>
  <sheetFormatPr defaultRowHeight="15" x14ac:dyDescent="0.25"/>
  <cols>
    <col min="1" max="1" width="5" customWidth="1"/>
    <col min="2" max="2" width="30" customWidth="1"/>
    <col min="3" max="3" width="22" customWidth="1"/>
    <col min="4" max="4" width="24" customWidth="1"/>
    <col min="5" max="5" width="40" customWidth="1"/>
    <col min="6" max="6" width="18" customWidth="1"/>
    <col min="7" max="7" width="16" customWidth="1"/>
    <col min="8" max="8" width="14" customWidth="1"/>
    <col min="9" max="9" width="16" customWidth="1"/>
    <col min="10" max="10" width="18" customWidth="1"/>
    <col min="11" max="11" width="22" customWidth="1"/>
    <col min="12" max="12" width="20" customWidth="1"/>
    <col min="13" max="13" width="18" customWidth="1"/>
    <col min="14" max="15" width="40" customWidth="1"/>
    <col min="16" max="16" width="12" customWidth="1"/>
    <col min="17" max="17" width="16" customWidth="1"/>
    <col min="18" max="19" width="28" customWidth="1"/>
    <col min="20" max="20" width="16" customWidth="1"/>
    <col min="21" max="22" width="28" customWidth="1"/>
    <col min="23" max="23" width="16" customWidth="1"/>
    <col min="24" max="25" width="28" customWidth="1"/>
    <col min="26" max="26" width="25" customWidth="1"/>
  </cols>
  <sheetData>
    <row r="1" spans="1:26" ht="35.1" customHeight="1" x14ac:dyDescent="0.25">
      <c r="A1" s="8" t="s">
        <v>2682</v>
      </c>
      <c r="B1" s="8" t="s">
        <v>2683</v>
      </c>
      <c r="C1" s="8" t="s">
        <v>2684</v>
      </c>
      <c r="D1" s="8" t="s">
        <v>2685</v>
      </c>
      <c r="E1" s="8" t="s">
        <v>2686</v>
      </c>
      <c r="F1" s="8" t="s">
        <v>2687</v>
      </c>
      <c r="G1" s="8" t="s">
        <v>2688</v>
      </c>
      <c r="H1" s="8" t="s">
        <v>2689</v>
      </c>
      <c r="I1" s="8" t="s">
        <v>2690</v>
      </c>
      <c r="J1" s="8" t="s">
        <v>2691</v>
      </c>
      <c r="K1" s="8" t="s">
        <v>2692</v>
      </c>
      <c r="L1" s="8" t="s">
        <v>2693</v>
      </c>
      <c r="M1" s="8" t="s">
        <v>2694</v>
      </c>
      <c r="N1" s="8" t="s">
        <v>2695</v>
      </c>
      <c r="O1" s="8" t="s">
        <v>2696</v>
      </c>
      <c r="P1" s="8" t="s">
        <v>2697</v>
      </c>
      <c r="Q1" s="14" t="s">
        <v>2698</v>
      </c>
      <c r="R1" s="14" t="s">
        <v>2699</v>
      </c>
      <c r="S1" s="14" t="s">
        <v>2700</v>
      </c>
      <c r="T1" s="15" t="s">
        <v>2701</v>
      </c>
      <c r="U1" s="15" t="s">
        <v>2702</v>
      </c>
      <c r="V1" s="15" t="s">
        <v>2703</v>
      </c>
      <c r="W1" s="16" t="s">
        <v>2704</v>
      </c>
      <c r="X1" s="16" t="s">
        <v>2705</v>
      </c>
      <c r="Y1" s="16" t="s">
        <v>2706</v>
      </c>
      <c r="Z1" s="8" t="s">
        <v>2707</v>
      </c>
    </row>
    <row r="2" spans="1:26" ht="27.95" customHeight="1" x14ac:dyDescent="0.25">
      <c r="A2" s="60" t="s">
        <v>2708</v>
      </c>
      <c r="B2" s="54"/>
      <c r="C2" s="54"/>
      <c r="D2" s="54"/>
      <c r="E2" s="54"/>
      <c r="F2" s="54"/>
      <c r="G2" s="54"/>
      <c r="H2" s="54"/>
      <c r="I2" s="54"/>
      <c r="J2" s="54"/>
      <c r="K2" s="54"/>
      <c r="L2" s="54"/>
      <c r="M2" s="54"/>
      <c r="N2" s="54"/>
      <c r="O2" s="54"/>
      <c r="P2" s="54"/>
      <c r="Q2" s="54"/>
      <c r="R2" s="54"/>
      <c r="S2" s="54"/>
      <c r="T2" s="54"/>
      <c r="U2" s="54"/>
      <c r="V2" s="54"/>
      <c r="W2" s="54"/>
      <c r="X2" s="54"/>
      <c r="Y2" s="54"/>
      <c r="Z2" s="55"/>
    </row>
    <row r="3" spans="1:26" ht="30" x14ac:dyDescent="0.25">
      <c r="A3" s="11">
        <v>1</v>
      </c>
      <c r="B3" s="11" t="s">
        <v>2709</v>
      </c>
      <c r="C3" s="17" t="s">
        <v>2710</v>
      </c>
      <c r="D3" s="11" t="s">
        <v>2711</v>
      </c>
      <c r="E3" s="11" t="s">
        <v>2712</v>
      </c>
      <c r="F3" s="11" t="s">
        <v>2713</v>
      </c>
      <c r="G3" s="11" t="s">
        <v>2714</v>
      </c>
      <c r="H3" s="11" t="s">
        <v>2715</v>
      </c>
      <c r="I3" s="11" t="s">
        <v>2716</v>
      </c>
      <c r="J3" s="11" t="s">
        <v>2717</v>
      </c>
      <c r="K3" s="11" t="s">
        <v>2718</v>
      </c>
      <c r="L3" s="11" t="s">
        <v>2719</v>
      </c>
      <c r="M3" s="18" t="s">
        <v>2720</v>
      </c>
      <c r="N3" s="11" t="s">
        <v>2721</v>
      </c>
      <c r="O3" s="19" t="s">
        <v>2722</v>
      </c>
      <c r="P3" s="20" t="s">
        <v>2723</v>
      </c>
      <c r="Q3" s="21"/>
      <c r="R3" s="21"/>
      <c r="S3" s="21"/>
      <c r="T3" s="22"/>
      <c r="U3" s="22"/>
      <c r="V3" s="22"/>
      <c r="W3" s="23"/>
      <c r="X3" s="23"/>
      <c r="Y3" s="23"/>
      <c r="Z3" s="24" t="s">
        <v>2724</v>
      </c>
    </row>
    <row r="4" spans="1:26" ht="30" x14ac:dyDescent="0.25">
      <c r="A4" s="11">
        <v>2</v>
      </c>
      <c r="B4" s="11" t="s">
        <v>2709</v>
      </c>
      <c r="C4" s="17" t="s">
        <v>2710</v>
      </c>
      <c r="D4" s="11" t="s">
        <v>2725</v>
      </c>
      <c r="E4" s="11" t="s">
        <v>2726</v>
      </c>
      <c r="F4" s="11" t="s">
        <v>2727</v>
      </c>
      <c r="G4" s="11" t="s">
        <v>2728</v>
      </c>
      <c r="H4" s="11" t="s">
        <v>2729</v>
      </c>
      <c r="I4" s="11" t="s">
        <v>2716</v>
      </c>
      <c r="J4" s="11" t="s">
        <v>2717</v>
      </c>
      <c r="K4" s="11" t="s">
        <v>2730</v>
      </c>
      <c r="L4" s="11" t="s">
        <v>2731</v>
      </c>
      <c r="M4" s="11" t="s">
        <v>2732</v>
      </c>
      <c r="N4" s="11" t="s">
        <v>2733</v>
      </c>
      <c r="O4" s="19" t="s">
        <v>2734</v>
      </c>
      <c r="P4" s="20" t="s">
        <v>2723</v>
      </c>
      <c r="Q4" s="21"/>
      <c r="R4" s="21"/>
      <c r="S4" s="21"/>
      <c r="T4" s="22"/>
      <c r="U4" s="22"/>
      <c r="V4" s="22"/>
      <c r="W4" s="23"/>
      <c r="X4" s="23"/>
      <c r="Y4" s="23"/>
      <c r="Z4" s="24" t="s">
        <v>2735</v>
      </c>
    </row>
    <row r="5" spans="1:26" ht="30" x14ac:dyDescent="0.25">
      <c r="A5" s="11">
        <v>3</v>
      </c>
      <c r="B5" s="11" t="s">
        <v>2709</v>
      </c>
      <c r="C5" s="17" t="s">
        <v>2736</v>
      </c>
      <c r="D5" s="11" t="s">
        <v>2737</v>
      </c>
      <c r="E5" s="11" t="s">
        <v>2738</v>
      </c>
      <c r="F5" s="11" t="s">
        <v>2727</v>
      </c>
      <c r="G5" s="11" t="s">
        <v>2720</v>
      </c>
      <c r="H5" s="11" t="s">
        <v>2739</v>
      </c>
      <c r="I5" s="11" t="s">
        <v>2740</v>
      </c>
      <c r="J5" s="11" t="s">
        <v>2741</v>
      </c>
      <c r="K5" s="11" t="s">
        <v>2718</v>
      </c>
      <c r="L5" s="11" t="s">
        <v>2719</v>
      </c>
      <c r="M5" s="18" t="s">
        <v>2720</v>
      </c>
      <c r="N5" s="11" t="s">
        <v>2742</v>
      </c>
      <c r="O5" s="19" t="s">
        <v>2743</v>
      </c>
      <c r="P5" s="20" t="s">
        <v>2723</v>
      </c>
      <c r="Q5" s="21"/>
      <c r="R5" s="21"/>
      <c r="S5" s="21"/>
      <c r="T5" s="22"/>
      <c r="U5" s="22"/>
      <c r="V5" s="22"/>
      <c r="W5" s="23"/>
      <c r="X5" s="23"/>
      <c r="Y5" s="23"/>
      <c r="Z5" s="24" t="s">
        <v>2744</v>
      </c>
    </row>
    <row r="6" spans="1:26" ht="30" x14ac:dyDescent="0.25">
      <c r="A6" s="11">
        <v>4</v>
      </c>
      <c r="B6" s="11" t="s">
        <v>2709</v>
      </c>
      <c r="C6" s="17" t="s">
        <v>2736</v>
      </c>
      <c r="D6" s="11" t="s">
        <v>2745</v>
      </c>
      <c r="E6" s="11" t="s">
        <v>2746</v>
      </c>
      <c r="F6" s="11" t="s">
        <v>2747</v>
      </c>
      <c r="G6" s="11" t="s">
        <v>2720</v>
      </c>
      <c r="H6" s="11" t="s">
        <v>2715</v>
      </c>
      <c r="I6" s="11" t="s">
        <v>2740</v>
      </c>
      <c r="J6" s="11" t="s">
        <v>2741</v>
      </c>
      <c r="K6" s="11" t="s">
        <v>2730</v>
      </c>
      <c r="L6" s="11" t="s">
        <v>2731</v>
      </c>
      <c r="M6" s="11" t="s">
        <v>2732</v>
      </c>
      <c r="N6" s="11" t="s">
        <v>2748</v>
      </c>
      <c r="O6" s="19" t="s">
        <v>2749</v>
      </c>
      <c r="P6" s="25" t="s">
        <v>2750</v>
      </c>
      <c r="Q6" s="21"/>
      <c r="R6" s="21"/>
      <c r="S6" s="21"/>
      <c r="T6" s="22"/>
      <c r="U6" s="22"/>
      <c r="V6" s="22"/>
      <c r="W6" s="23"/>
      <c r="X6" s="23"/>
      <c r="Y6" s="23"/>
      <c r="Z6" s="24" t="s">
        <v>2751</v>
      </c>
    </row>
    <row r="7" spans="1:26" x14ac:dyDescent="0.25">
      <c r="A7" s="11">
        <v>5</v>
      </c>
      <c r="B7" s="11" t="s">
        <v>2709</v>
      </c>
      <c r="C7" s="17" t="s">
        <v>2752</v>
      </c>
      <c r="D7" s="11" t="s">
        <v>2753</v>
      </c>
      <c r="E7" s="11" t="s">
        <v>2754</v>
      </c>
      <c r="F7" s="11" t="s">
        <v>2755</v>
      </c>
      <c r="G7" s="11" t="s">
        <v>2728</v>
      </c>
      <c r="H7" s="11" t="s">
        <v>2715</v>
      </c>
      <c r="I7" s="11" t="s">
        <v>2716</v>
      </c>
      <c r="J7" s="11" t="s">
        <v>2717</v>
      </c>
      <c r="K7" s="11" t="s">
        <v>2718</v>
      </c>
      <c r="L7" s="11" t="s">
        <v>2719</v>
      </c>
      <c r="M7" s="11" t="s">
        <v>2732</v>
      </c>
      <c r="N7" s="11" t="s">
        <v>2756</v>
      </c>
      <c r="O7" s="19" t="s">
        <v>2757</v>
      </c>
      <c r="P7" s="20" t="s">
        <v>2723</v>
      </c>
      <c r="Q7" s="21"/>
      <c r="R7" s="21"/>
      <c r="S7" s="21"/>
      <c r="T7" s="22"/>
      <c r="U7" s="22"/>
      <c r="V7" s="22"/>
      <c r="W7" s="23"/>
      <c r="X7" s="23"/>
      <c r="Y7" s="23"/>
      <c r="Z7" s="24" t="s">
        <v>2758</v>
      </c>
    </row>
    <row r="8" spans="1:26" ht="30" x14ac:dyDescent="0.25">
      <c r="A8" s="11">
        <v>6</v>
      </c>
      <c r="B8" s="11" t="s">
        <v>2709</v>
      </c>
      <c r="C8" s="17" t="s">
        <v>2759</v>
      </c>
      <c r="D8" s="11" t="s">
        <v>2760</v>
      </c>
      <c r="E8" s="11" t="s">
        <v>2761</v>
      </c>
      <c r="F8" s="11" t="s">
        <v>2727</v>
      </c>
      <c r="G8" s="11" t="s">
        <v>2732</v>
      </c>
      <c r="H8" s="11" t="s">
        <v>2715</v>
      </c>
      <c r="I8" s="11" t="s">
        <v>2716</v>
      </c>
      <c r="J8" s="11" t="s">
        <v>2717</v>
      </c>
      <c r="K8" s="11" t="s">
        <v>2762</v>
      </c>
      <c r="L8" s="11" t="s">
        <v>2731</v>
      </c>
      <c r="M8" s="11" t="s">
        <v>2732</v>
      </c>
      <c r="N8" s="11" t="s">
        <v>2763</v>
      </c>
      <c r="O8" s="19" t="s">
        <v>2764</v>
      </c>
      <c r="P8" s="25" t="s">
        <v>2750</v>
      </c>
      <c r="Q8" s="21"/>
      <c r="R8" s="21"/>
      <c r="S8" s="21"/>
      <c r="T8" s="22"/>
      <c r="U8" s="22"/>
      <c r="V8" s="22"/>
      <c r="W8" s="23"/>
      <c r="X8" s="23"/>
      <c r="Y8" s="23"/>
      <c r="Z8" s="24" t="s">
        <v>2765</v>
      </c>
    </row>
    <row r="9" spans="1:26" ht="30" x14ac:dyDescent="0.25">
      <c r="A9" s="11">
        <v>7</v>
      </c>
      <c r="B9" s="11" t="s">
        <v>2709</v>
      </c>
      <c r="C9" s="17" t="s">
        <v>2766</v>
      </c>
      <c r="D9" s="11" t="s">
        <v>2767</v>
      </c>
      <c r="E9" s="11" t="s">
        <v>2768</v>
      </c>
      <c r="F9" s="11" t="s">
        <v>2727</v>
      </c>
      <c r="G9" s="11" t="s">
        <v>2732</v>
      </c>
      <c r="H9" s="11" t="s">
        <v>2769</v>
      </c>
      <c r="I9" s="11" t="s">
        <v>2740</v>
      </c>
      <c r="J9" s="11" t="s">
        <v>2770</v>
      </c>
      <c r="K9" s="11" t="s">
        <v>2771</v>
      </c>
      <c r="L9" s="11" t="s">
        <v>2731</v>
      </c>
      <c r="M9" s="11" t="s">
        <v>2716</v>
      </c>
      <c r="N9" s="11" t="s">
        <v>2772</v>
      </c>
      <c r="O9" s="19" t="s">
        <v>2773</v>
      </c>
      <c r="P9" s="26" t="s">
        <v>2774</v>
      </c>
      <c r="Q9" s="21"/>
      <c r="R9" s="21"/>
      <c r="S9" s="21"/>
      <c r="T9" s="22"/>
      <c r="U9" s="22"/>
      <c r="V9" s="22"/>
      <c r="W9" s="23"/>
      <c r="X9" s="23"/>
      <c r="Y9" s="23"/>
      <c r="Z9" s="24" t="s">
        <v>2775</v>
      </c>
    </row>
    <row r="10" spans="1:26" x14ac:dyDescent="0.25">
      <c r="A10" s="11">
        <v>8</v>
      </c>
      <c r="B10" s="11" t="s">
        <v>2709</v>
      </c>
      <c r="C10" s="17" t="s">
        <v>2776</v>
      </c>
      <c r="D10" s="11" t="s">
        <v>2777</v>
      </c>
      <c r="E10" s="11" t="s">
        <v>2778</v>
      </c>
      <c r="F10" s="11" t="s">
        <v>2727</v>
      </c>
      <c r="G10" s="11" t="s">
        <v>2732</v>
      </c>
      <c r="H10" s="11" t="s">
        <v>2739</v>
      </c>
      <c r="I10" s="11" t="s">
        <v>2716</v>
      </c>
      <c r="J10" s="11" t="s">
        <v>2717</v>
      </c>
      <c r="K10" s="11" t="s">
        <v>2730</v>
      </c>
      <c r="L10" s="11" t="s">
        <v>2719</v>
      </c>
      <c r="M10" s="11" t="s">
        <v>2732</v>
      </c>
      <c r="N10" s="11" t="s">
        <v>2779</v>
      </c>
      <c r="O10" s="19" t="s">
        <v>2780</v>
      </c>
      <c r="P10" s="25" t="s">
        <v>2750</v>
      </c>
      <c r="Q10" s="21"/>
      <c r="R10" s="21"/>
      <c r="S10" s="21"/>
      <c r="T10" s="22"/>
      <c r="U10" s="22"/>
      <c r="V10" s="22"/>
      <c r="W10" s="23"/>
      <c r="X10" s="23"/>
      <c r="Y10" s="23"/>
      <c r="Z10" s="24" t="s">
        <v>2781</v>
      </c>
    </row>
    <row r="11" spans="1:26" ht="30" x14ac:dyDescent="0.25">
      <c r="A11" s="11">
        <v>9</v>
      </c>
      <c r="B11" s="11" t="s">
        <v>2709</v>
      </c>
      <c r="C11" s="17" t="s">
        <v>2782</v>
      </c>
      <c r="D11" s="11" t="s">
        <v>2783</v>
      </c>
      <c r="E11" s="11" t="s">
        <v>2784</v>
      </c>
      <c r="F11" s="11" t="s">
        <v>2785</v>
      </c>
      <c r="G11" s="11" t="s">
        <v>2714</v>
      </c>
      <c r="H11" s="11" t="s">
        <v>2739</v>
      </c>
      <c r="I11" s="11" t="s">
        <v>2716</v>
      </c>
      <c r="J11" s="11" t="s">
        <v>2717</v>
      </c>
      <c r="K11" s="11" t="s">
        <v>2718</v>
      </c>
      <c r="L11" s="11" t="s">
        <v>2719</v>
      </c>
      <c r="M11" s="18" t="s">
        <v>2720</v>
      </c>
      <c r="N11" s="11" t="s">
        <v>2786</v>
      </c>
      <c r="O11" s="19" t="s">
        <v>2787</v>
      </c>
      <c r="P11" s="25" t="s">
        <v>2750</v>
      </c>
      <c r="Q11" s="21"/>
      <c r="R11" s="21"/>
      <c r="S11" s="21"/>
      <c r="T11" s="22"/>
      <c r="U11" s="22"/>
      <c r="V11" s="22"/>
      <c r="W11" s="23"/>
      <c r="X11" s="23"/>
      <c r="Y11" s="23"/>
      <c r="Z11" s="24" t="s">
        <v>2788</v>
      </c>
    </row>
    <row r="12" spans="1:26" ht="30" x14ac:dyDescent="0.25">
      <c r="A12" s="11">
        <v>10</v>
      </c>
      <c r="B12" s="11" t="s">
        <v>2709</v>
      </c>
      <c r="C12" s="17" t="s">
        <v>2789</v>
      </c>
      <c r="D12" s="11" t="s">
        <v>2790</v>
      </c>
      <c r="E12" s="11" t="s">
        <v>2791</v>
      </c>
      <c r="F12" s="11" t="s">
        <v>2792</v>
      </c>
      <c r="G12" s="11" t="s">
        <v>2732</v>
      </c>
      <c r="H12" s="11" t="s">
        <v>2739</v>
      </c>
      <c r="I12" s="11" t="s">
        <v>2716</v>
      </c>
      <c r="J12" s="11" t="s">
        <v>2770</v>
      </c>
      <c r="K12" s="11" t="s">
        <v>2793</v>
      </c>
      <c r="L12" s="11" t="s">
        <v>2731</v>
      </c>
      <c r="M12" s="11" t="s">
        <v>2716</v>
      </c>
      <c r="N12" s="11" t="s">
        <v>2794</v>
      </c>
      <c r="O12" s="19" t="s">
        <v>2795</v>
      </c>
      <c r="P12" s="20" t="s">
        <v>2723</v>
      </c>
      <c r="Q12" s="21"/>
      <c r="R12" s="21"/>
      <c r="S12" s="21"/>
      <c r="T12" s="22"/>
      <c r="U12" s="22"/>
      <c r="V12" s="22"/>
      <c r="W12" s="23"/>
      <c r="X12" s="23"/>
      <c r="Y12" s="23"/>
      <c r="Z12" s="24" t="s">
        <v>2796</v>
      </c>
    </row>
    <row r="13" spans="1:26" x14ac:dyDescent="0.25">
      <c r="A13" s="11">
        <v>11</v>
      </c>
      <c r="B13" s="11" t="s">
        <v>2709</v>
      </c>
      <c r="C13" s="17" t="s">
        <v>2789</v>
      </c>
      <c r="D13" s="11" t="s">
        <v>2797</v>
      </c>
      <c r="E13" s="11" t="s">
        <v>2798</v>
      </c>
      <c r="F13" s="11" t="s">
        <v>2785</v>
      </c>
      <c r="G13" s="11" t="s">
        <v>2720</v>
      </c>
      <c r="H13" s="11" t="s">
        <v>2715</v>
      </c>
      <c r="I13" s="11" t="s">
        <v>2716</v>
      </c>
      <c r="J13" s="11" t="s">
        <v>2717</v>
      </c>
      <c r="K13" s="11" t="s">
        <v>2730</v>
      </c>
      <c r="L13" s="11" t="s">
        <v>2719</v>
      </c>
      <c r="M13" s="11" t="s">
        <v>2732</v>
      </c>
      <c r="N13" s="11" t="s">
        <v>2799</v>
      </c>
      <c r="O13" s="19" t="s">
        <v>2800</v>
      </c>
      <c r="P13" s="25" t="s">
        <v>2750</v>
      </c>
      <c r="Q13" s="21"/>
      <c r="R13" s="21"/>
      <c r="S13" s="21"/>
      <c r="T13" s="22"/>
      <c r="U13" s="22"/>
      <c r="V13" s="22"/>
      <c r="W13" s="23"/>
      <c r="X13" s="23"/>
      <c r="Y13" s="23"/>
      <c r="Z13" s="24" t="s">
        <v>2801</v>
      </c>
    </row>
    <row r="14" spans="1:26" ht="30" x14ac:dyDescent="0.25">
      <c r="A14" s="11">
        <v>12</v>
      </c>
      <c r="B14" s="11" t="s">
        <v>2709</v>
      </c>
      <c r="C14" s="17" t="s">
        <v>2802</v>
      </c>
      <c r="D14" s="11" t="s">
        <v>2803</v>
      </c>
      <c r="E14" s="11" t="s">
        <v>2804</v>
      </c>
      <c r="F14" s="11" t="s">
        <v>2805</v>
      </c>
      <c r="G14" s="11" t="s">
        <v>2714</v>
      </c>
      <c r="H14" s="11" t="s">
        <v>2715</v>
      </c>
      <c r="I14" s="11" t="s">
        <v>2716</v>
      </c>
      <c r="J14" s="11" t="s">
        <v>2717</v>
      </c>
      <c r="K14" s="11" t="s">
        <v>2718</v>
      </c>
      <c r="L14" s="11" t="s">
        <v>2719</v>
      </c>
      <c r="M14" s="11" t="s">
        <v>2732</v>
      </c>
      <c r="N14" s="11" t="s">
        <v>2806</v>
      </c>
      <c r="O14" s="19" t="s">
        <v>2807</v>
      </c>
      <c r="P14" s="27" t="s">
        <v>2808</v>
      </c>
      <c r="Q14" s="21"/>
      <c r="R14" s="21"/>
      <c r="S14" s="21"/>
      <c r="T14" s="22"/>
      <c r="U14" s="22"/>
      <c r="V14" s="22"/>
      <c r="W14" s="23"/>
      <c r="X14" s="23"/>
      <c r="Y14" s="23"/>
      <c r="Z14" s="24" t="s">
        <v>2809</v>
      </c>
    </row>
    <row r="15" spans="1:26" ht="27.95" customHeight="1" x14ac:dyDescent="0.25">
      <c r="A15" s="61" t="s">
        <v>2810</v>
      </c>
      <c r="B15" s="54"/>
      <c r="C15" s="54"/>
      <c r="D15" s="54"/>
      <c r="E15" s="54"/>
      <c r="F15" s="54"/>
      <c r="G15" s="54"/>
      <c r="H15" s="54"/>
      <c r="I15" s="54"/>
      <c r="J15" s="54"/>
      <c r="K15" s="54"/>
      <c r="L15" s="54"/>
      <c r="M15" s="54"/>
      <c r="N15" s="54"/>
      <c r="O15" s="54"/>
      <c r="P15" s="54"/>
      <c r="Q15" s="54"/>
      <c r="R15" s="54"/>
      <c r="S15" s="54"/>
      <c r="T15" s="54"/>
      <c r="U15" s="54"/>
      <c r="V15" s="54"/>
      <c r="W15" s="54"/>
      <c r="X15" s="54"/>
      <c r="Y15" s="54"/>
      <c r="Z15" s="55"/>
    </row>
    <row r="16" spans="1:26" ht="30" x14ac:dyDescent="0.25">
      <c r="A16" s="11">
        <v>13</v>
      </c>
      <c r="B16" s="11" t="s">
        <v>2811</v>
      </c>
      <c r="C16" s="17" t="s">
        <v>2812</v>
      </c>
      <c r="D16" s="11" t="s">
        <v>2813</v>
      </c>
      <c r="E16" s="11" t="s">
        <v>2814</v>
      </c>
      <c r="F16" s="11" t="s">
        <v>2727</v>
      </c>
      <c r="G16" s="11" t="s">
        <v>2720</v>
      </c>
      <c r="H16" s="11" t="s">
        <v>2769</v>
      </c>
      <c r="I16" s="11" t="s">
        <v>2740</v>
      </c>
      <c r="J16" s="11" t="s">
        <v>2815</v>
      </c>
      <c r="K16" s="11" t="s">
        <v>2816</v>
      </c>
      <c r="L16" s="11" t="s">
        <v>2731</v>
      </c>
      <c r="M16" s="11" t="s">
        <v>2716</v>
      </c>
      <c r="N16" s="11" t="s">
        <v>2817</v>
      </c>
      <c r="O16" s="19" t="s">
        <v>2818</v>
      </c>
      <c r="P16" s="26" t="s">
        <v>2774</v>
      </c>
      <c r="Q16" s="21"/>
      <c r="R16" s="21"/>
      <c r="S16" s="21"/>
      <c r="T16" s="22"/>
      <c r="U16" s="22"/>
      <c r="V16" s="22"/>
      <c r="W16" s="23"/>
      <c r="X16" s="23"/>
      <c r="Y16" s="23"/>
      <c r="Z16" s="24" t="s">
        <v>2819</v>
      </c>
    </row>
    <row r="17" spans="1:26" ht="30" x14ac:dyDescent="0.25">
      <c r="A17" s="11">
        <v>14</v>
      </c>
      <c r="B17" s="11" t="s">
        <v>2811</v>
      </c>
      <c r="C17" s="17" t="s">
        <v>2812</v>
      </c>
      <c r="D17" s="11" t="s">
        <v>2820</v>
      </c>
      <c r="E17" s="11" t="s">
        <v>2821</v>
      </c>
      <c r="F17" s="11" t="s">
        <v>2727</v>
      </c>
      <c r="G17" s="11" t="s">
        <v>2720</v>
      </c>
      <c r="H17" s="11" t="s">
        <v>2739</v>
      </c>
      <c r="I17" s="11" t="s">
        <v>2740</v>
      </c>
      <c r="J17" s="11" t="s">
        <v>2770</v>
      </c>
      <c r="K17" s="11" t="s">
        <v>2730</v>
      </c>
      <c r="L17" s="11" t="s">
        <v>2731</v>
      </c>
      <c r="M17" s="11" t="s">
        <v>2732</v>
      </c>
      <c r="N17" s="11" t="s">
        <v>2822</v>
      </c>
      <c r="O17" s="19" t="s">
        <v>2823</v>
      </c>
      <c r="P17" s="25" t="s">
        <v>2750</v>
      </c>
      <c r="Q17" s="21"/>
      <c r="R17" s="21"/>
      <c r="S17" s="21"/>
      <c r="T17" s="22"/>
      <c r="U17" s="22"/>
      <c r="V17" s="22"/>
      <c r="W17" s="23"/>
      <c r="X17" s="23"/>
      <c r="Y17" s="23"/>
      <c r="Z17" s="24" t="s">
        <v>2824</v>
      </c>
    </row>
    <row r="18" spans="1:26" x14ac:dyDescent="0.25">
      <c r="A18" s="11">
        <v>15</v>
      </c>
      <c r="B18" s="11" t="s">
        <v>2811</v>
      </c>
      <c r="C18" s="17" t="s">
        <v>2825</v>
      </c>
      <c r="D18" s="11" t="s">
        <v>2826</v>
      </c>
      <c r="E18" s="11" t="s">
        <v>2827</v>
      </c>
      <c r="F18" s="11" t="s">
        <v>2727</v>
      </c>
      <c r="G18" s="11" t="s">
        <v>2714</v>
      </c>
      <c r="H18" s="11" t="s">
        <v>2715</v>
      </c>
      <c r="I18" s="11" t="s">
        <v>2716</v>
      </c>
      <c r="J18" s="11" t="s">
        <v>2828</v>
      </c>
      <c r="K18" s="11" t="s">
        <v>2718</v>
      </c>
      <c r="L18" s="11" t="s">
        <v>2719</v>
      </c>
      <c r="M18" s="18" t="s">
        <v>2720</v>
      </c>
      <c r="N18" s="11" t="s">
        <v>2829</v>
      </c>
      <c r="O18" s="19" t="s">
        <v>2830</v>
      </c>
      <c r="P18" s="20" t="s">
        <v>2723</v>
      </c>
      <c r="Q18" s="21"/>
      <c r="R18" s="21"/>
      <c r="S18" s="21"/>
      <c r="T18" s="22"/>
      <c r="U18" s="22"/>
      <c r="V18" s="22"/>
      <c r="W18" s="23"/>
      <c r="X18" s="23"/>
      <c r="Y18" s="23"/>
      <c r="Z18" s="24" t="s">
        <v>2831</v>
      </c>
    </row>
    <row r="19" spans="1:26" ht="30" x14ac:dyDescent="0.25">
      <c r="A19" s="11">
        <v>16</v>
      </c>
      <c r="B19" s="11" t="s">
        <v>2811</v>
      </c>
      <c r="C19" s="17" t="s">
        <v>2825</v>
      </c>
      <c r="D19" s="11" t="s">
        <v>2832</v>
      </c>
      <c r="E19" s="11" t="s">
        <v>2833</v>
      </c>
      <c r="F19" s="11" t="s">
        <v>2727</v>
      </c>
      <c r="G19" s="11" t="s">
        <v>2714</v>
      </c>
      <c r="H19" s="11" t="s">
        <v>2715</v>
      </c>
      <c r="I19" s="11" t="s">
        <v>2740</v>
      </c>
      <c r="J19" s="11" t="s">
        <v>2828</v>
      </c>
      <c r="K19" s="11" t="s">
        <v>2730</v>
      </c>
      <c r="L19" s="11" t="s">
        <v>2719</v>
      </c>
      <c r="M19" s="18" t="s">
        <v>2720</v>
      </c>
      <c r="N19" s="11" t="s">
        <v>2834</v>
      </c>
      <c r="O19" s="19" t="s">
        <v>2835</v>
      </c>
      <c r="P19" s="20" t="s">
        <v>2723</v>
      </c>
      <c r="Q19" s="21"/>
      <c r="R19" s="21"/>
      <c r="S19" s="21"/>
      <c r="T19" s="22"/>
      <c r="U19" s="22"/>
      <c r="V19" s="22"/>
      <c r="W19" s="23"/>
      <c r="X19" s="23"/>
      <c r="Y19" s="23"/>
      <c r="Z19" s="24" t="s">
        <v>2836</v>
      </c>
    </row>
    <row r="20" spans="1:26" ht="30" x14ac:dyDescent="0.25">
      <c r="A20" s="11">
        <v>17</v>
      </c>
      <c r="B20" s="11" t="s">
        <v>2811</v>
      </c>
      <c r="C20" s="17" t="s">
        <v>2837</v>
      </c>
      <c r="D20" s="11" t="s">
        <v>2838</v>
      </c>
      <c r="E20" s="11" t="s">
        <v>2839</v>
      </c>
      <c r="F20" s="11" t="s">
        <v>2840</v>
      </c>
      <c r="G20" s="11" t="s">
        <v>2732</v>
      </c>
      <c r="H20" s="11" t="s">
        <v>2769</v>
      </c>
      <c r="I20" s="11" t="s">
        <v>2740</v>
      </c>
      <c r="J20" s="11" t="s">
        <v>2841</v>
      </c>
      <c r="K20" s="11" t="s">
        <v>2771</v>
      </c>
      <c r="L20" s="11" t="s">
        <v>2731</v>
      </c>
      <c r="M20" s="11" t="s">
        <v>2716</v>
      </c>
      <c r="N20" s="11" t="s">
        <v>2842</v>
      </c>
      <c r="O20" s="19" t="s">
        <v>2843</v>
      </c>
      <c r="P20" s="20" t="s">
        <v>2723</v>
      </c>
      <c r="Q20" s="21"/>
      <c r="R20" s="21"/>
      <c r="S20" s="21"/>
      <c r="T20" s="22"/>
      <c r="U20" s="22"/>
      <c r="V20" s="22"/>
      <c r="W20" s="23"/>
      <c r="X20" s="23"/>
      <c r="Y20" s="23"/>
      <c r="Z20" s="24" t="s">
        <v>2844</v>
      </c>
    </row>
    <row r="21" spans="1:26" ht="30" x14ac:dyDescent="0.25">
      <c r="A21" s="11">
        <v>18</v>
      </c>
      <c r="B21" s="11" t="s">
        <v>2811</v>
      </c>
      <c r="C21" s="17" t="s">
        <v>2837</v>
      </c>
      <c r="D21" s="11" t="s">
        <v>2845</v>
      </c>
      <c r="E21" s="11" t="s">
        <v>2846</v>
      </c>
      <c r="F21" s="11" t="s">
        <v>2727</v>
      </c>
      <c r="G21" s="11" t="s">
        <v>2720</v>
      </c>
      <c r="H21" s="11" t="s">
        <v>2739</v>
      </c>
      <c r="I21" s="11" t="s">
        <v>2740</v>
      </c>
      <c r="J21" s="11" t="s">
        <v>2741</v>
      </c>
      <c r="K21" s="11" t="s">
        <v>2730</v>
      </c>
      <c r="L21" s="11" t="s">
        <v>2731</v>
      </c>
      <c r="M21" s="11" t="s">
        <v>2732</v>
      </c>
      <c r="N21" s="11" t="s">
        <v>2847</v>
      </c>
      <c r="O21" s="19" t="s">
        <v>2848</v>
      </c>
      <c r="P21" s="25" t="s">
        <v>2750</v>
      </c>
      <c r="Q21" s="21"/>
      <c r="R21" s="21"/>
      <c r="S21" s="21"/>
      <c r="T21" s="22"/>
      <c r="U21" s="22"/>
      <c r="V21" s="22"/>
      <c r="W21" s="23"/>
      <c r="X21" s="23"/>
      <c r="Y21" s="23"/>
      <c r="Z21" s="24" t="s">
        <v>2849</v>
      </c>
    </row>
    <row r="22" spans="1:26" x14ac:dyDescent="0.25">
      <c r="A22" s="11">
        <v>19</v>
      </c>
      <c r="B22" s="11" t="s">
        <v>2811</v>
      </c>
      <c r="C22" s="17" t="s">
        <v>2850</v>
      </c>
      <c r="D22" s="11" t="s">
        <v>2851</v>
      </c>
      <c r="E22" s="11" t="s">
        <v>2852</v>
      </c>
      <c r="F22" s="11" t="s">
        <v>2727</v>
      </c>
      <c r="G22" s="11" t="s">
        <v>2728</v>
      </c>
      <c r="H22" s="11" t="s">
        <v>2729</v>
      </c>
      <c r="I22" s="11" t="s">
        <v>2716</v>
      </c>
      <c r="J22" s="11" t="s">
        <v>2717</v>
      </c>
      <c r="K22" s="11" t="s">
        <v>2718</v>
      </c>
      <c r="L22" s="11" t="s">
        <v>2731</v>
      </c>
      <c r="M22" s="11" t="s">
        <v>2732</v>
      </c>
      <c r="N22" s="11" t="s">
        <v>2853</v>
      </c>
      <c r="O22" s="19" t="s">
        <v>2854</v>
      </c>
      <c r="P22" s="20" t="s">
        <v>2723</v>
      </c>
      <c r="Q22" s="21"/>
      <c r="R22" s="21"/>
      <c r="S22" s="21"/>
      <c r="T22" s="22"/>
      <c r="U22" s="22"/>
      <c r="V22" s="22"/>
      <c r="W22" s="23"/>
      <c r="X22" s="23"/>
      <c r="Y22" s="23"/>
      <c r="Z22" s="24" t="s">
        <v>2855</v>
      </c>
    </row>
    <row r="23" spans="1:26" x14ac:dyDescent="0.25">
      <c r="A23" s="11">
        <v>20</v>
      </c>
      <c r="B23" s="11" t="s">
        <v>2811</v>
      </c>
      <c r="C23" s="17" t="s">
        <v>2850</v>
      </c>
      <c r="D23" s="11" t="s">
        <v>2856</v>
      </c>
      <c r="E23" s="11" t="s">
        <v>2857</v>
      </c>
      <c r="F23" s="11" t="s">
        <v>2727</v>
      </c>
      <c r="G23" s="11" t="s">
        <v>2720</v>
      </c>
      <c r="H23" s="11" t="s">
        <v>2739</v>
      </c>
      <c r="I23" s="11" t="s">
        <v>2740</v>
      </c>
      <c r="J23" s="11" t="s">
        <v>2741</v>
      </c>
      <c r="K23" s="11" t="s">
        <v>2762</v>
      </c>
      <c r="L23" s="11" t="s">
        <v>2731</v>
      </c>
      <c r="M23" s="11" t="s">
        <v>2716</v>
      </c>
      <c r="N23" s="11" t="s">
        <v>2858</v>
      </c>
      <c r="O23" s="19" t="s">
        <v>2859</v>
      </c>
      <c r="P23" s="20" t="s">
        <v>2723</v>
      </c>
      <c r="Q23" s="21"/>
      <c r="R23" s="21"/>
      <c r="S23" s="21"/>
      <c r="T23" s="22"/>
      <c r="U23" s="22"/>
      <c r="V23" s="22"/>
      <c r="W23" s="23"/>
      <c r="X23" s="23"/>
      <c r="Y23" s="23"/>
      <c r="Z23" s="24" t="s">
        <v>2860</v>
      </c>
    </row>
    <row r="24" spans="1:26" ht="30" x14ac:dyDescent="0.25">
      <c r="A24" s="11">
        <v>21</v>
      </c>
      <c r="B24" s="11" t="s">
        <v>2811</v>
      </c>
      <c r="C24" s="17" t="s">
        <v>2861</v>
      </c>
      <c r="D24" s="11" t="s">
        <v>2862</v>
      </c>
      <c r="E24" s="11" t="s">
        <v>2863</v>
      </c>
      <c r="F24" s="11" t="s">
        <v>2727</v>
      </c>
      <c r="G24" s="11" t="s">
        <v>2728</v>
      </c>
      <c r="H24" s="11" t="s">
        <v>2729</v>
      </c>
      <c r="I24" s="11" t="s">
        <v>2740</v>
      </c>
      <c r="J24" s="11" t="s">
        <v>2828</v>
      </c>
      <c r="K24" s="11" t="s">
        <v>2730</v>
      </c>
      <c r="L24" s="11" t="s">
        <v>2719</v>
      </c>
      <c r="M24" s="18" t="s">
        <v>2720</v>
      </c>
      <c r="N24" s="11" t="s">
        <v>2864</v>
      </c>
      <c r="O24" s="19" t="s">
        <v>2865</v>
      </c>
      <c r="P24" s="25" t="s">
        <v>2750</v>
      </c>
      <c r="Q24" s="21"/>
      <c r="R24" s="21"/>
      <c r="S24" s="21"/>
      <c r="T24" s="22"/>
      <c r="U24" s="22"/>
      <c r="V24" s="22"/>
      <c r="W24" s="23"/>
      <c r="X24" s="23"/>
      <c r="Y24" s="23"/>
      <c r="Z24" s="24" t="s">
        <v>2866</v>
      </c>
    </row>
    <row r="25" spans="1:26" ht="30" x14ac:dyDescent="0.25">
      <c r="A25" s="11">
        <v>22</v>
      </c>
      <c r="B25" s="11" t="s">
        <v>2811</v>
      </c>
      <c r="C25" s="17" t="s">
        <v>2867</v>
      </c>
      <c r="D25" s="11" t="s">
        <v>2868</v>
      </c>
      <c r="E25" s="11" t="s">
        <v>2869</v>
      </c>
      <c r="F25" s="11" t="s">
        <v>2727</v>
      </c>
      <c r="G25" s="11" t="s">
        <v>2714</v>
      </c>
      <c r="H25" s="11" t="s">
        <v>2715</v>
      </c>
      <c r="I25" s="11" t="s">
        <v>2740</v>
      </c>
      <c r="J25" s="11" t="s">
        <v>2741</v>
      </c>
      <c r="K25" s="11" t="s">
        <v>2730</v>
      </c>
      <c r="L25" s="11" t="s">
        <v>2719</v>
      </c>
      <c r="M25" s="18" t="s">
        <v>2720</v>
      </c>
      <c r="N25" s="11" t="s">
        <v>2870</v>
      </c>
      <c r="O25" s="19" t="s">
        <v>2871</v>
      </c>
      <c r="P25" s="27" t="s">
        <v>2808</v>
      </c>
      <c r="Q25" s="21"/>
      <c r="R25" s="21"/>
      <c r="S25" s="21"/>
      <c r="T25" s="22"/>
      <c r="U25" s="22"/>
      <c r="V25" s="22"/>
      <c r="W25" s="23"/>
      <c r="X25" s="23"/>
      <c r="Y25" s="23"/>
      <c r="Z25" s="24" t="s">
        <v>2872</v>
      </c>
    </row>
    <row r="26" spans="1:26" x14ac:dyDescent="0.25">
      <c r="A26" s="11">
        <v>23</v>
      </c>
      <c r="B26" s="11" t="s">
        <v>2811</v>
      </c>
      <c r="C26" s="17" t="s">
        <v>2873</v>
      </c>
      <c r="D26" s="11" t="s">
        <v>2874</v>
      </c>
      <c r="E26" s="11" t="s">
        <v>2875</v>
      </c>
      <c r="F26" s="11" t="s">
        <v>2727</v>
      </c>
      <c r="G26" s="11" t="s">
        <v>2728</v>
      </c>
      <c r="H26" s="11" t="s">
        <v>2729</v>
      </c>
      <c r="I26" s="11" t="s">
        <v>2716</v>
      </c>
      <c r="J26" s="11" t="s">
        <v>2876</v>
      </c>
      <c r="K26" s="11" t="s">
        <v>2877</v>
      </c>
      <c r="L26" s="11" t="s">
        <v>2719</v>
      </c>
      <c r="M26" s="11" t="s">
        <v>2732</v>
      </c>
      <c r="N26" s="11" t="s">
        <v>2878</v>
      </c>
      <c r="O26" s="19" t="s">
        <v>2879</v>
      </c>
      <c r="P26" s="25" t="s">
        <v>2750</v>
      </c>
      <c r="Q26" s="21"/>
      <c r="R26" s="21"/>
      <c r="S26" s="21"/>
      <c r="T26" s="22"/>
      <c r="U26" s="22"/>
      <c r="V26" s="22"/>
      <c r="W26" s="23"/>
      <c r="X26" s="23"/>
      <c r="Y26" s="23"/>
      <c r="Z26" s="24" t="s">
        <v>2880</v>
      </c>
    </row>
    <row r="27" spans="1:26" ht="27.95" customHeight="1" x14ac:dyDescent="0.25">
      <c r="A27" s="57" t="s">
        <v>2881</v>
      </c>
      <c r="B27" s="54"/>
      <c r="C27" s="54"/>
      <c r="D27" s="54"/>
      <c r="E27" s="54"/>
      <c r="F27" s="54"/>
      <c r="G27" s="54"/>
      <c r="H27" s="54"/>
      <c r="I27" s="54"/>
      <c r="J27" s="54"/>
      <c r="K27" s="54"/>
      <c r="L27" s="54"/>
      <c r="M27" s="54"/>
      <c r="N27" s="54"/>
      <c r="O27" s="54"/>
      <c r="P27" s="54"/>
      <c r="Q27" s="54"/>
      <c r="R27" s="54"/>
      <c r="S27" s="54"/>
      <c r="T27" s="54"/>
      <c r="U27" s="54"/>
      <c r="V27" s="54"/>
      <c r="W27" s="54"/>
      <c r="X27" s="54"/>
      <c r="Y27" s="54"/>
      <c r="Z27" s="55"/>
    </row>
    <row r="28" spans="1:26" ht="30" x14ac:dyDescent="0.25">
      <c r="A28" s="11">
        <v>24</v>
      </c>
      <c r="B28" s="11" t="s">
        <v>2882</v>
      </c>
      <c r="C28" s="17" t="s">
        <v>2883</v>
      </c>
      <c r="D28" s="11" t="s">
        <v>2884</v>
      </c>
      <c r="E28" s="11" t="s">
        <v>2885</v>
      </c>
      <c r="F28" s="11" t="s">
        <v>2886</v>
      </c>
      <c r="G28" s="11" t="s">
        <v>2714</v>
      </c>
      <c r="H28" s="11" t="s">
        <v>2729</v>
      </c>
      <c r="I28" s="11" t="s">
        <v>2716</v>
      </c>
      <c r="J28" s="11" t="s">
        <v>2876</v>
      </c>
      <c r="K28" s="11" t="s">
        <v>2730</v>
      </c>
      <c r="L28" s="11" t="s">
        <v>2719</v>
      </c>
      <c r="M28" s="28" t="s">
        <v>2714</v>
      </c>
      <c r="N28" s="11" t="s">
        <v>2887</v>
      </c>
      <c r="O28" s="19" t="s">
        <v>2888</v>
      </c>
      <c r="P28" s="26" t="s">
        <v>2774</v>
      </c>
      <c r="Q28" s="21"/>
      <c r="R28" s="21"/>
      <c r="S28" s="21"/>
      <c r="T28" s="22"/>
      <c r="U28" s="22"/>
      <c r="V28" s="22"/>
      <c r="W28" s="23"/>
      <c r="X28" s="23"/>
      <c r="Y28" s="23"/>
      <c r="Z28" s="24" t="s">
        <v>2889</v>
      </c>
    </row>
    <row r="29" spans="1:26" ht="30" x14ac:dyDescent="0.25">
      <c r="A29" s="11">
        <v>25</v>
      </c>
      <c r="B29" s="11" t="s">
        <v>2882</v>
      </c>
      <c r="C29" s="17" t="s">
        <v>2890</v>
      </c>
      <c r="D29" s="11" t="s">
        <v>2891</v>
      </c>
      <c r="E29" s="11" t="s">
        <v>2892</v>
      </c>
      <c r="F29" s="11" t="s">
        <v>2886</v>
      </c>
      <c r="G29" s="11" t="s">
        <v>2728</v>
      </c>
      <c r="H29" s="11" t="s">
        <v>2729</v>
      </c>
      <c r="I29" s="11" t="s">
        <v>2716</v>
      </c>
      <c r="J29" s="11" t="s">
        <v>2741</v>
      </c>
      <c r="K29" s="11" t="s">
        <v>2718</v>
      </c>
      <c r="L29" s="11" t="s">
        <v>2719</v>
      </c>
      <c r="M29" s="11" t="s">
        <v>2732</v>
      </c>
      <c r="N29" s="11" t="s">
        <v>2893</v>
      </c>
      <c r="O29" s="19" t="s">
        <v>2894</v>
      </c>
      <c r="P29" s="20" t="s">
        <v>2723</v>
      </c>
      <c r="Q29" s="21"/>
      <c r="R29" s="21"/>
      <c r="S29" s="21"/>
      <c r="T29" s="22"/>
      <c r="U29" s="22"/>
      <c r="V29" s="22"/>
      <c r="W29" s="23"/>
      <c r="X29" s="23"/>
      <c r="Y29" s="23"/>
      <c r="Z29" s="24" t="s">
        <v>2895</v>
      </c>
    </row>
    <row r="30" spans="1:26" ht="30" x14ac:dyDescent="0.25">
      <c r="A30" s="11">
        <v>26</v>
      </c>
      <c r="B30" s="11" t="s">
        <v>2882</v>
      </c>
      <c r="C30" s="17" t="s">
        <v>2896</v>
      </c>
      <c r="D30" s="11" t="s">
        <v>2897</v>
      </c>
      <c r="E30" s="11" t="s">
        <v>2898</v>
      </c>
      <c r="F30" s="11" t="s">
        <v>2899</v>
      </c>
      <c r="G30" s="11" t="s">
        <v>2714</v>
      </c>
      <c r="H30" s="11" t="s">
        <v>2715</v>
      </c>
      <c r="I30" s="11" t="s">
        <v>2740</v>
      </c>
      <c r="J30" s="11" t="s">
        <v>2741</v>
      </c>
      <c r="K30" s="11" t="s">
        <v>2730</v>
      </c>
      <c r="L30" s="11" t="s">
        <v>2731</v>
      </c>
      <c r="M30" s="18" t="s">
        <v>2720</v>
      </c>
      <c r="N30" s="11" t="s">
        <v>2900</v>
      </c>
      <c r="O30" s="19" t="s">
        <v>2901</v>
      </c>
      <c r="P30" s="26" t="s">
        <v>2774</v>
      </c>
      <c r="Q30" s="21"/>
      <c r="R30" s="21"/>
      <c r="S30" s="21"/>
      <c r="T30" s="22"/>
      <c r="U30" s="22"/>
      <c r="V30" s="22"/>
      <c r="W30" s="23"/>
      <c r="X30" s="23"/>
      <c r="Y30" s="23"/>
      <c r="Z30" s="24" t="s">
        <v>2902</v>
      </c>
    </row>
    <row r="31" spans="1:26" ht="30" x14ac:dyDescent="0.25">
      <c r="A31" s="11">
        <v>27</v>
      </c>
      <c r="B31" s="11" t="s">
        <v>2882</v>
      </c>
      <c r="C31" s="17" t="s">
        <v>2903</v>
      </c>
      <c r="D31" s="11" t="s">
        <v>2904</v>
      </c>
      <c r="E31" s="11" t="s">
        <v>2905</v>
      </c>
      <c r="F31" s="11" t="s">
        <v>2886</v>
      </c>
      <c r="G31" s="11" t="s">
        <v>2728</v>
      </c>
      <c r="H31" s="11" t="s">
        <v>2715</v>
      </c>
      <c r="I31" s="11" t="s">
        <v>2716</v>
      </c>
      <c r="J31" s="11" t="s">
        <v>2876</v>
      </c>
      <c r="K31" s="11" t="s">
        <v>2718</v>
      </c>
      <c r="L31" s="11" t="s">
        <v>2719</v>
      </c>
      <c r="M31" s="11" t="s">
        <v>2732</v>
      </c>
      <c r="N31" s="11" t="s">
        <v>2906</v>
      </c>
      <c r="O31" s="19" t="s">
        <v>2907</v>
      </c>
      <c r="P31" s="20" t="s">
        <v>2723</v>
      </c>
      <c r="Q31" s="21"/>
      <c r="R31" s="21"/>
      <c r="S31" s="21"/>
      <c r="T31" s="22"/>
      <c r="U31" s="22"/>
      <c r="V31" s="22"/>
      <c r="W31" s="23"/>
      <c r="X31" s="23"/>
      <c r="Y31" s="23"/>
      <c r="Z31" s="24" t="s">
        <v>2908</v>
      </c>
    </row>
    <row r="32" spans="1:26" ht="30" x14ac:dyDescent="0.25">
      <c r="A32" s="11">
        <v>28</v>
      </c>
      <c r="B32" s="11" t="s">
        <v>2882</v>
      </c>
      <c r="C32" s="17" t="s">
        <v>2909</v>
      </c>
      <c r="D32" s="11" t="s">
        <v>2910</v>
      </c>
      <c r="E32" s="11" t="s">
        <v>2911</v>
      </c>
      <c r="F32" s="11" t="s">
        <v>2899</v>
      </c>
      <c r="G32" s="11" t="s">
        <v>2720</v>
      </c>
      <c r="H32" s="11" t="s">
        <v>2739</v>
      </c>
      <c r="I32" s="11" t="s">
        <v>2740</v>
      </c>
      <c r="J32" s="11" t="s">
        <v>2741</v>
      </c>
      <c r="K32" s="11" t="s">
        <v>2762</v>
      </c>
      <c r="L32" s="11" t="s">
        <v>2731</v>
      </c>
      <c r="M32" s="11" t="s">
        <v>2732</v>
      </c>
      <c r="N32" s="11" t="s">
        <v>2912</v>
      </c>
      <c r="O32" s="19" t="s">
        <v>2913</v>
      </c>
      <c r="P32" s="20" t="s">
        <v>2723</v>
      </c>
      <c r="Q32" s="21"/>
      <c r="R32" s="21"/>
      <c r="S32" s="21"/>
      <c r="T32" s="22"/>
      <c r="U32" s="22"/>
      <c r="V32" s="22"/>
      <c r="W32" s="23"/>
      <c r="X32" s="23"/>
      <c r="Y32" s="23"/>
      <c r="Z32" s="24" t="s">
        <v>2914</v>
      </c>
    </row>
    <row r="33" spans="1:26" ht="30" x14ac:dyDescent="0.25">
      <c r="A33" s="11">
        <v>29</v>
      </c>
      <c r="B33" s="11" t="s">
        <v>2882</v>
      </c>
      <c r="C33" s="17" t="s">
        <v>2915</v>
      </c>
      <c r="D33" s="11" t="s">
        <v>2916</v>
      </c>
      <c r="E33" s="11" t="s">
        <v>2917</v>
      </c>
      <c r="F33" s="11" t="s">
        <v>2886</v>
      </c>
      <c r="G33" s="11" t="s">
        <v>2720</v>
      </c>
      <c r="H33" s="11" t="s">
        <v>2739</v>
      </c>
      <c r="I33" s="11" t="s">
        <v>2740</v>
      </c>
      <c r="J33" s="11" t="s">
        <v>2741</v>
      </c>
      <c r="K33" s="11" t="s">
        <v>2762</v>
      </c>
      <c r="L33" s="11" t="s">
        <v>2719</v>
      </c>
      <c r="M33" s="11" t="s">
        <v>2716</v>
      </c>
      <c r="N33" s="11" t="s">
        <v>2918</v>
      </c>
      <c r="O33" s="19" t="s">
        <v>2919</v>
      </c>
      <c r="P33" s="20" t="s">
        <v>2723</v>
      </c>
      <c r="Q33" s="21"/>
      <c r="R33" s="21"/>
      <c r="S33" s="21"/>
      <c r="T33" s="22"/>
      <c r="U33" s="22"/>
      <c r="V33" s="22"/>
      <c r="W33" s="23"/>
      <c r="X33" s="23"/>
      <c r="Y33" s="23"/>
      <c r="Z33" s="24" t="s">
        <v>2920</v>
      </c>
    </row>
    <row r="34" spans="1:26" ht="30" x14ac:dyDescent="0.25">
      <c r="A34" s="11">
        <v>30</v>
      </c>
      <c r="B34" s="11" t="s">
        <v>2882</v>
      </c>
      <c r="C34" s="17" t="s">
        <v>2921</v>
      </c>
      <c r="D34" s="11" t="s">
        <v>2922</v>
      </c>
      <c r="E34" s="11" t="s">
        <v>2923</v>
      </c>
      <c r="F34" s="11" t="s">
        <v>2886</v>
      </c>
      <c r="G34" s="11" t="s">
        <v>2714</v>
      </c>
      <c r="H34" s="11" t="s">
        <v>2729</v>
      </c>
      <c r="I34" s="11" t="s">
        <v>2716</v>
      </c>
      <c r="J34" s="11" t="s">
        <v>2876</v>
      </c>
      <c r="K34" s="11" t="s">
        <v>2730</v>
      </c>
      <c r="L34" s="11" t="s">
        <v>2719</v>
      </c>
      <c r="M34" s="18" t="s">
        <v>2720</v>
      </c>
      <c r="N34" s="11" t="s">
        <v>2924</v>
      </c>
      <c r="O34" s="19" t="s">
        <v>2925</v>
      </c>
      <c r="P34" s="25" t="s">
        <v>2750</v>
      </c>
      <c r="Q34" s="21"/>
      <c r="R34" s="21"/>
      <c r="S34" s="21"/>
      <c r="T34" s="22"/>
      <c r="U34" s="22"/>
      <c r="V34" s="22"/>
      <c r="W34" s="23"/>
      <c r="X34" s="23"/>
      <c r="Y34" s="23"/>
      <c r="Z34" s="24" t="s">
        <v>2926</v>
      </c>
    </row>
    <row r="35" spans="1:26" ht="30" x14ac:dyDescent="0.25">
      <c r="A35" s="11">
        <v>31</v>
      </c>
      <c r="B35" s="11" t="s">
        <v>2882</v>
      </c>
      <c r="C35" s="17" t="s">
        <v>2927</v>
      </c>
      <c r="D35" s="11" t="s">
        <v>2928</v>
      </c>
      <c r="E35" s="11" t="s">
        <v>2929</v>
      </c>
      <c r="F35" s="11" t="s">
        <v>2886</v>
      </c>
      <c r="G35" s="11" t="s">
        <v>2714</v>
      </c>
      <c r="H35" s="11" t="s">
        <v>2739</v>
      </c>
      <c r="I35" s="11" t="s">
        <v>2716</v>
      </c>
      <c r="J35" s="11" t="s">
        <v>2741</v>
      </c>
      <c r="K35" s="11" t="s">
        <v>2718</v>
      </c>
      <c r="L35" s="11" t="s">
        <v>2719</v>
      </c>
      <c r="M35" s="11" t="s">
        <v>2732</v>
      </c>
      <c r="N35" s="11" t="s">
        <v>2930</v>
      </c>
      <c r="O35" s="19" t="s">
        <v>2931</v>
      </c>
      <c r="P35" s="20" t="s">
        <v>2723</v>
      </c>
      <c r="Q35" s="21"/>
      <c r="R35" s="21"/>
      <c r="S35" s="21"/>
      <c r="T35" s="22"/>
      <c r="U35" s="22"/>
      <c r="V35" s="22"/>
      <c r="W35" s="23"/>
      <c r="X35" s="23"/>
      <c r="Y35" s="23"/>
      <c r="Z35" s="24" t="s">
        <v>2932</v>
      </c>
    </row>
    <row r="36" spans="1:26" ht="30" x14ac:dyDescent="0.25">
      <c r="A36" s="11">
        <v>32</v>
      </c>
      <c r="B36" s="11" t="s">
        <v>2882</v>
      </c>
      <c r="C36" s="17" t="s">
        <v>2933</v>
      </c>
      <c r="D36" s="11" t="s">
        <v>2934</v>
      </c>
      <c r="E36" s="11" t="s">
        <v>2935</v>
      </c>
      <c r="F36" s="11" t="s">
        <v>2886</v>
      </c>
      <c r="G36" s="11" t="s">
        <v>2720</v>
      </c>
      <c r="H36" s="11" t="s">
        <v>2769</v>
      </c>
      <c r="I36" s="11" t="s">
        <v>2740</v>
      </c>
      <c r="J36" s="11" t="s">
        <v>2741</v>
      </c>
      <c r="K36" s="11" t="s">
        <v>2936</v>
      </c>
      <c r="L36" s="11" t="s">
        <v>2731</v>
      </c>
      <c r="M36" s="11" t="s">
        <v>2716</v>
      </c>
      <c r="N36" s="11" t="s">
        <v>2937</v>
      </c>
      <c r="O36" s="19" t="s">
        <v>2938</v>
      </c>
      <c r="P36" s="26" t="s">
        <v>2774</v>
      </c>
      <c r="Q36" s="21"/>
      <c r="R36" s="21"/>
      <c r="S36" s="21"/>
      <c r="T36" s="22"/>
      <c r="U36" s="22"/>
      <c r="V36" s="22"/>
      <c r="W36" s="23"/>
      <c r="X36" s="23"/>
      <c r="Y36" s="23"/>
      <c r="Z36" s="24" t="s">
        <v>2939</v>
      </c>
    </row>
    <row r="37" spans="1:26" ht="30" x14ac:dyDescent="0.25">
      <c r="A37" s="11">
        <v>33</v>
      </c>
      <c r="B37" s="11" t="s">
        <v>2882</v>
      </c>
      <c r="C37" s="17" t="s">
        <v>2940</v>
      </c>
      <c r="D37" s="11" t="s">
        <v>2941</v>
      </c>
      <c r="E37" s="11" t="s">
        <v>2942</v>
      </c>
      <c r="F37" s="11" t="s">
        <v>2886</v>
      </c>
      <c r="G37" s="11" t="s">
        <v>2720</v>
      </c>
      <c r="H37" s="11" t="s">
        <v>2715</v>
      </c>
      <c r="I37" s="11" t="s">
        <v>2740</v>
      </c>
      <c r="J37" s="11" t="s">
        <v>2741</v>
      </c>
      <c r="K37" s="11" t="s">
        <v>2730</v>
      </c>
      <c r="L37" s="11" t="s">
        <v>2719</v>
      </c>
      <c r="M37" s="18" t="s">
        <v>2720</v>
      </c>
      <c r="N37" s="11" t="s">
        <v>2943</v>
      </c>
      <c r="O37" s="19" t="s">
        <v>2944</v>
      </c>
      <c r="P37" s="25" t="s">
        <v>2750</v>
      </c>
      <c r="Q37" s="21"/>
      <c r="R37" s="21"/>
      <c r="S37" s="21"/>
      <c r="T37" s="22"/>
      <c r="U37" s="22"/>
      <c r="V37" s="22"/>
      <c r="W37" s="23"/>
      <c r="X37" s="23"/>
      <c r="Y37" s="23"/>
      <c r="Z37" s="24" t="s">
        <v>2945</v>
      </c>
    </row>
    <row r="38" spans="1:26" ht="30" x14ac:dyDescent="0.25">
      <c r="A38" s="11">
        <v>34</v>
      </c>
      <c r="B38" s="11" t="s">
        <v>2882</v>
      </c>
      <c r="C38" s="17" t="s">
        <v>2946</v>
      </c>
      <c r="D38" s="11" t="s">
        <v>2947</v>
      </c>
      <c r="E38" s="11" t="s">
        <v>2948</v>
      </c>
      <c r="F38" s="11" t="s">
        <v>2886</v>
      </c>
      <c r="G38" s="11" t="s">
        <v>2714</v>
      </c>
      <c r="H38" s="11" t="s">
        <v>2715</v>
      </c>
      <c r="I38" s="11" t="s">
        <v>2716</v>
      </c>
      <c r="J38" s="11" t="s">
        <v>2741</v>
      </c>
      <c r="K38" s="11" t="s">
        <v>2762</v>
      </c>
      <c r="L38" s="11" t="s">
        <v>2731</v>
      </c>
      <c r="M38" s="11" t="s">
        <v>2732</v>
      </c>
      <c r="N38" s="11" t="s">
        <v>2949</v>
      </c>
      <c r="O38" s="19" t="s">
        <v>2950</v>
      </c>
      <c r="P38" s="25" t="s">
        <v>2750</v>
      </c>
      <c r="Q38" s="21"/>
      <c r="R38" s="21"/>
      <c r="S38" s="21"/>
      <c r="T38" s="22"/>
      <c r="U38" s="22"/>
      <c r="V38" s="22"/>
      <c r="W38" s="23"/>
      <c r="X38" s="23"/>
      <c r="Y38" s="23"/>
      <c r="Z38" s="24" t="s">
        <v>2951</v>
      </c>
    </row>
    <row r="39" spans="1:26" ht="27.95" customHeight="1" x14ac:dyDescent="0.25">
      <c r="A39" s="59" t="s">
        <v>2952</v>
      </c>
      <c r="B39" s="54"/>
      <c r="C39" s="54"/>
      <c r="D39" s="54"/>
      <c r="E39" s="54"/>
      <c r="F39" s="54"/>
      <c r="G39" s="54"/>
      <c r="H39" s="54"/>
      <c r="I39" s="54"/>
      <c r="J39" s="54"/>
      <c r="K39" s="54"/>
      <c r="L39" s="54"/>
      <c r="M39" s="54"/>
      <c r="N39" s="54"/>
      <c r="O39" s="54"/>
      <c r="P39" s="54"/>
      <c r="Q39" s="54"/>
      <c r="R39" s="54"/>
      <c r="S39" s="54"/>
      <c r="T39" s="54"/>
      <c r="U39" s="54"/>
      <c r="V39" s="54"/>
      <c r="W39" s="54"/>
      <c r="X39" s="54"/>
      <c r="Y39" s="54"/>
      <c r="Z39" s="55"/>
    </row>
    <row r="40" spans="1:26" ht="30" x14ac:dyDescent="0.25">
      <c r="A40" s="11">
        <v>35</v>
      </c>
      <c r="B40" s="11" t="s">
        <v>2953</v>
      </c>
      <c r="C40" s="17" t="s">
        <v>2954</v>
      </c>
      <c r="D40" s="11" t="s">
        <v>2955</v>
      </c>
      <c r="E40" s="11" t="s">
        <v>2956</v>
      </c>
      <c r="F40" s="11" t="s">
        <v>2957</v>
      </c>
      <c r="G40" s="11" t="s">
        <v>2720</v>
      </c>
      <c r="H40" s="11" t="s">
        <v>2715</v>
      </c>
      <c r="I40" s="11" t="s">
        <v>2716</v>
      </c>
      <c r="J40" s="11" t="s">
        <v>2717</v>
      </c>
      <c r="K40" s="11" t="s">
        <v>2762</v>
      </c>
      <c r="L40" s="11" t="s">
        <v>2731</v>
      </c>
      <c r="M40" s="11" t="s">
        <v>2732</v>
      </c>
      <c r="N40" s="11" t="s">
        <v>2958</v>
      </c>
      <c r="O40" s="19" t="s">
        <v>2959</v>
      </c>
      <c r="P40" s="20" t="s">
        <v>2723</v>
      </c>
      <c r="Q40" s="21"/>
      <c r="R40" s="21"/>
      <c r="S40" s="21"/>
      <c r="T40" s="22"/>
      <c r="U40" s="22"/>
      <c r="V40" s="22"/>
      <c r="W40" s="23"/>
      <c r="X40" s="23"/>
      <c r="Y40" s="23"/>
      <c r="Z40" s="24" t="s">
        <v>2960</v>
      </c>
    </row>
    <row r="41" spans="1:26" ht="30" x14ac:dyDescent="0.25">
      <c r="A41" s="11">
        <v>36</v>
      </c>
      <c r="B41" s="11" t="s">
        <v>2953</v>
      </c>
      <c r="C41" s="17" t="s">
        <v>2961</v>
      </c>
      <c r="D41" s="11" t="s">
        <v>2962</v>
      </c>
      <c r="E41" s="11" t="s">
        <v>2963</v>
      </c>
      <c r="F41" s="11" t="s">
        <v>2964</v>
      </c>
      <c r="G41" s="11" t="s">
        <v>2732</v>
      </c>
      <c r="H41" s="11" t="s">
        <v>2739</v>
      </c>
      <c r="I41" s="11" t="s">
        <v>2740</v>
      </c>
      <c r="J41" s="11" t="s">
        <v>2741</v>
      </c>
      <c r="K41" s="11" t="s">
        <v>2730</v>
      </c>
      <c r="L41" s="11" t="s">
        <v>2719</v>
      </c>
      <c r="M41" s="18" t="s">
        <v>2720</v>
      </c>
      <c r="N41" s="11" t="s">
        <v>2965</v>
      </c>
      <c r="O41" s="19" t="s">
        <v>2966</v>
      </c>
      <c r="P41" s="20" t="s">
        <v>2723</v>
      </c>
      <c r="Q41" s="21"/>
      <c r="R41" s="21"/>
      <c r="S41" s="21"/>
      <c r="T41" s="22"/>
      <c r="U41" s="22"/>
      <c r="V41" s="22"/>
      <c r="W41" s="23"/>
      <c r="X41" s="23"/>
      <c r="Y41" s="23"/>
      <c r="Z41" s="24" t="s">
        <v>2967</v>
      </c>
    </row>
    <row r="42" spans="1:26" ht="30" x14ac:dyDescent="0.25">
      <c r="A42" s="11">
        <v>37</v>
      </c>
      <c r="B42" s="11" t="s">
        <v>2953</v>
      </c>
      <c r="C42" s="17" t="s">
        <v>2968</v>
      </c>
      <c r="D42" s="11" t="s">
        <v>2969</v>
      </c>
      <c r="E42" s="11" t="s">
        <v>2970</v>
      </c>
      <c r="F42" s="11" t="s">
        <v>2964</v>
      </c>
      <c r="G42" s="11" t="s">
        <v>2732</v>
      </c>
      <c r="H42" s="11" t="s">
        <v>2769</v>
      </c>
      <c r="I42" s="11" t="s">
        <v>2740</v>
      </c>
      <c r="J42" s="11" t="s">
        <v>2770</v>
      </c>
      <c r="K42" s="11" t="s">
        <v>2771</v>
      </c>
      <c r="L42" s="11" t="s">
        <v>2731</v>
      </c>
      <c r="M42" s="11" t="s">
        <v>2716</v>
      </c>
      <c r="N42" s="11" t="s">
        <v>2971</v>
      </c>
      <c r="O42" s="19" t="s">
        <v>2972</v>
      </c>
      <c r="P42" s="25" t="s">
        <v>2750</v>
      </c>
      <c r="Q42" s="21"/>
      <c r="R42" s="21"/>
      <c r="S42" s="21"/>
      <c r="T42" s="22"/>
      <c r="U42" s="22"/>
      <c r="V42" s="22"/>
      <c r="W42" s="23"/>
      <c r="X42" s="23"/>
      <c r="Y42" s="23"/>
      <c r="Z42" s="24" t="s">
        <v>2973</v>
      </c>
    </row>
    <row r="43" spans="1:26" ht="30" x14ac:dyDescent="0.25">
      <c r="A43" s="11">
        <v>38</v>
      </c>
      <c r="B43" s="11" t="s">
        <v>2953</v>
      </c>
      <c r="C43" s="17" t="s">
        <v>2974</v>
      </c>
      <c r="D43" s="11" t="s">
        <v>2975</v>
      </c>
      <c r="E43" s="11" t="s">
        <v>2976</v>
      </c>
      <c r="F43" s="11" t="s">
        <v>2977</v>
      </c>
      <c r="G43" s="11" t="s">
        <v>2714</v>
      </c>
      <c r="H43" s="11" t="s">
        <v>2715</v>
      </c>
      <c r="I43" s="11" t="s">
        <v>2716</v>
      </c>
      <c r="J43" s="11" t="s">
        <v>2717</v>
      </c>
      <c r="K43" s="11" t="s">
        <v>2718</v>
      </c>
      <c r="L43" s="11" t="s">
        <v>2719</v>
      </c>
      <c r="M43" s="11" t="s">
        <v>2732</v>
      </c>
      <c r="N43" s="11" t="s">
        <v>2978</v>
      </c>
      <c r="O43" s="19" t="s">
        <v>2979</v>
      </c>
      <c r="P43" s="20" t="s">
        <v>2723</v>
      </c>
      <c r="Q43" s="21"/>
      <c r="R43" s="21"/>
      <c r="S43" s="21"/>
      <c r="T43" s="22"/>
      <c r="U43" s="22"/>
      <c r="V43" s="22"/>
      <c r="W43" s="23"/>
      <c r="X43" s="23"/>
      <c r="Y43" s="23"/>
      <c r="Z43" s="24" t="s">
        <v>2980</v>
      </c>
    </row>
    <row r="44" spans="1:26" ht="30" x14ac:dyDescent="0.25">
      <c r="A44" s="11">
        <v>39</v>
      </c>
      <c r="B44" s="11" t="s">
        <v>2953</v>
      </c>
      <c r="C44" s="17" t="s">
        <v>2974</v>
      </c>
      <c r="D44" s="11" t="s">
        <v>2981</v>
      </c>
      <c r="E44" s="11" t="s">
        <v>2982</v>
      </c>
      <c r="F44" s="11" t="s">
        <v>2983</v>
      </c>
      <c r="G44" s="11" t="s">
        <v>2714</v>
      </c>
      <c r="H44" s="11" t="s">
        <v>2729</v>
      </c>
      <c r="I44" s="11" t="s">
        <v>2740</v>
      </c>
      <c r="J44" s="11" t="s">
        <v>2770</v>
      </c>
      <c r="K44" s="11" t="s">
        <v>2718</v>
      </c>
      <c r="L44" s="11" t="s">
        <v>2719</v>
      </c>
      <c r="M44" s="11" t="s">
        <v>2732</v>
      </c>
      <c r="N44" s="11" t="s">
        <v>2984</v>
      </c>
      <c r="O44" s="19" t="s">
        <v>2985</v>
      </c>
      <c r="P44" s="26" t="s">
        <v>2774</v>
      </c>
      <c r="Q44" s="21"/>
      <c r="R44" s="21"/>
      <c r="S44" s="21"/>
      <c r="T44" s="22"/>
      <c r="U44" s="22"/>
      <c r="V44" s="22"/>
      <c r="W44" s="23"/>
      <c r="X44" s="23"/>
      <c r="Y44" s="23"/>
      <c r="Z44" s="24" t="s">
        <v>2986</v>
      </c>
    </row>
    <row r="45" spans="1:26" ht="30" x14ac:dyDescent="0.25">
      <c r="A45" s="11">
        <v>40</v>
      </c>
      <c r="B45" s="11" t="s">
        <v>2953</v>
      </c>
      <c r="C45" s="17" t="s">
        <v>2974</v>
      </c>
      <c r="D45" s="11" t="s">
        <v>2987</v>
      </c>
      <c r="E45" s="11" t="s">
        <v>2988</v>
      </c>
      <c r="F45" s="11" t="s">
        <v>2989</v>
      </c>
      <c r="G45" s="11" t="s">
        <v>2720</v>
      </c>
      <c r="H45" s="11" t="s">
        <v>2715</v>
      </c>
      <c r="I45" s="11" t="s">
        <v>2716</v>
      </c>
      <c r="J45" s="11" t="s">
        <v>2717</v>
      </c>
      <c r="K45" s="11" t="s">
        <v>2730</v>
      </c>
      <c r="L45" s="11" t="s">
        <v>2719</v>
      </c>
      <c r="M45" s="11" t="s">
        <v>2732</v>
      </c>
      <c r="N45" s="11" t="s">
        <v>2990</v>
      </c>
      <c r="O45" s="19" t="s">
        <v>2991</v>
      </c>
      <c r="P45" s="25" t="s">
        <v>2750</v>
      </c>
      <c r="Q45" s="21"/>
      <c r="R45" s="21"/>
      <c r="S45" s="21"/>
      <c r="T45" s="22"/>
      <c r="U45" s="22"/>
      <c r="V45" s="22"/>
      <c r="W45" s="23"/>
      <c r="X45" s="23"/>
      <c r="Y45" s="23"/>
      <c r="Z45" s="24" t="s">
        <v>2992</v>
      </c>
    </row>
    <row r="46" spans="1:26" ht="30" x14ac:dyDescent="0.25">
      <c r="A46" s="11">
        <v>41</v>
      </c>
      <c r="B46" s="11" t="s">
        <v>2953</v>
      </c>
      <c r="C46" s="17" t="s">
        <v>2993</v>
      </c>
      <c r="D46" s="11" t="s">
        <v>2994</v>
      </c>
      <c r="E46" s="11" t="s">
        <v>2995</v>
      </c>
      <c r="F46" s="11" t="s">
        <v>2996</v>
      </c>
      <c r="G46" s="11" t="s">
        <v>2714</v>
      </c>
      <c r="H46" s="11" t="s">
        <v>2739</v>
      </c>
      <c r="I46" s="11" t="s">
        <v>2716</v>
      </c>
      <c r="J46" s="11" t="s">
        <v>2770</v>
      </c>
      <c r="K46" s="11" t="s">
        <v>2997</v>
      </c>
      <c r="L46" s="11" t="s">
        <v>2731</v>
      </c>
      <c r="M46" s="11" t="s">
        <v>2716</v>
      </c>
      <c r="N46" s="11" t="s">
        <v>2998</v>
      </c>
      <c r="O46" s="19" t="s">
        <v>2999</v>
      </c>
      <c r="P46" s="20" t="s">
        <v>2723</v>
      </c>
      <c r="Q46" s="21"/>
      <c r="R46" s="21"/>
      <c r="S46" s="21"/>
      <c r="T46" s="22"/>
      <c r="U46" s="22"/>
      <c r="V46" s="22"/>
      <c r="W46" s="23"/>
      <c r="X46" s="23"/>
      <c r="Y46" s="23"/>
      <c r="Z46" s="24" t="s">
        <v>3000</v>
      </c>
    </row>
    <row r="47" spans="1:26" ht="30" x14ac:dyDescent="0.25">
      <c r="A47" s="11">
        <v>42</v>
      </c>
      <c r="B47" s="11" t="s">
        <v>2953</v>
      </c>
      <c r="C47" s="17" t="s">
        <v>2993</v>
      </c>
      <c r="D47" s="11" t="s">
        <v>3001</v>
      </c>
      <c r="E47" s="11" t="s">
        <v>3002</v>
      </c>
      <c r="F47" s="11" t="s">
        <v>3003</v>
      </c>
      <c r="G47" s="11" t="s">
        <v>2728</v>
      </c>
      <c r="H47" s="11" t="s">
        <v>2715</v>
      </c>
      <c r="I47" s="11" t="s">
        <v>2716</v>
      </c>
      <c r="J47" s="11" t="s">
        <v>2717</v>
      </c>
      <c r="K47" s="11" t="s">
        <v>2877</v>
      </c>
      <c r="L47" s="11" t="s">
        <v>2719</v>
      </c>
      <c r="M47" s="11" t="s">
        <v>2732</v>
      </c>
      <c r="N47" s="11" t="s">
        <v>3004</v>
      </c>
      <c r="O47" s="19" t="s">
        <v>3005</v>
      </c>
      <c r="P47" s="25" t="s">
        <v>2750</v>
      </c>
      <c r="Q47" s="21"/>
      <c r="R47" s="21"/>
      <c r="S47" s="21"/>
      <c r="T47" s="22"/>
      <c r="U47" s="22"/>
      <c r="V47" s="22"/>
      <c r="W47" s="23"/>
      <c r="X47" s="23"/>
      <c r="Y47" s="23"/>
      <c r="Z47" s="24" t="s">
        <v>3006</v>
      </c>
    </row>
    <row r="48" spans="1:26" ht="30" x14ac:dyDescent="0.25">
      <c r="A48" s="11">
        <v>43</v>
      </c>
      <c r="B48" s="11" t="s">
        <v>2953</v>
      </c>
      <c r="C48" s="17" t="s">
        <v>2993</v>
      </c>
      <c r="D48" s="11" t="s">
        <v>3007</v>
      </c>
      <c r="E48" s="11" t="s">
        <v>3008</v>
      </c>
      <c r="F48" s="11" t="s">
        <v>3009</v>
      </c>
      <c r="G48" s="11" t="s">
        <v>2732</v>
      </c>
      <c r="H48" s="11" t="s">
        <v>2769</v>
      </c>
      <c r="I48" s="11" t="s">
        <v>2716</v>
      </c>
      <c r="J48" s="11" t="s">
        <v>2717</v>
      </c>
      <c r="K48" s="11" t="s">
        <v>2771</v>
      </c>
      <c r="L48" s="11" t="s">
        <v>2731</v>
      </c>
      <c r="M48" s="11" t="s">
        <v>2716</v>
      </c>
      <c r="N48" s="11" t="s">
        <v>3010</v>
      </c>
      <c r="O48" s="19" t="s">
        <v>3011</v>
      </c>
      <c r="P48" s="25" t="s">
        <v>2750</v>
      </c>
      <c r="Q48" s="21"/>
      <c r="R48" s="21"/>
      <c r="S48" s="21"/>
      <c r="T48" s="22"/>
      <c r="U48" s="22"/>
      <c r="V48" s="22"/>
      <c r="W48" s="23"/>
      <c r="X48" s="23"/>
      <c r="Y48" s="23"/>
      <c r="Z48" s="24" t="s">
        <v>3012</v>
      </c>
    </row>
    <row r="49" spans="1:26" ht="30" x14ac:dyDescent="0.25">
      <c r="A49" s="11">
        <v>44</v>
      </c>
      <c r="B49" s="11" t="s">
        <v>2953</v>
      </c>
      <c r="C49" s="17" t="s">
        <v>3013</v>
      </c>
      <c r="D49" s="11" t="s">
        <v>3014</v>
      </c>
      <c r="E49" s="11" t="s">
        <v>3015</v>
      </c>
      <c r="F49" s="11" t="s">
        <v>3016</v>
      </c>
      <c r="G49" s="11" t="s">
        <v>2720</v>
      </c>
      <c r="H49" s="11" t="s">
        <v>2729</v>
      </c>
      <c r="I49" s="11" t="s">
        <v>2716</v>
      </c>
      <c r="J49" s="11" t="s">
        <v>2770</v>
      </c>
      <c r="K49" s="11" t="s">
        <v>3017</v>
      </c>
      <c r="L49" s="11" t="s">
        <v>2731</v>
      </c>
      <c r="M49" s="11" t="s">
        <v>2716</v>
      </c>
      <c r="N49" s="11" t="s">
        <v>3018</v>
      </c>
      <c r="O49" s="19" t="s">
        <v>3019</v>
      </c>
      <c r="P49" s="20" t="s">
        <v>2723</v>
      </c>
      <c r="Q49" s="21"/>
      <c r="R49" s="21"/>
      <c r="S49" s="21"/>
      <c r="T49" s="22"/>
      <c r="U49" s="22"/>
      <c r="V49" s="22"/>
      <c r="W49" s="23"/>
      <c r="X49" s="23"/>
      <c r="Y49" s="23"/>
      <c r="Z49" s="24" t="s">
        <v>3020</v>
      </c>
    </row>
    <row r="50" spans="1:26" ht="30" x14ac:dyDescent="0.25">
      <c r="A50" s="11">
        <v>45</v>
      </c>
      <c r="B50" s="11" t="s">
        <v>2953</v>
      </c>
      <c r="C50" s="17" t="s">
        <v>3021</v>
      </c>
      <c r="D50" s="11" t="s">
        <v>3022</v>
      </c>
      <c r="E50" s="11" t="s">
        <v>3023</v>
      </c>
      <c r="F50" s="11" t="s">
        <v>3024</v>
      </c>
      <c r="G50" s="11" t="s">
        <v>2728</v>
      </c>
      <c r="H50" s="11" t="s">
        <v>2715</v>
      </c>
      <c r="I50" s="11" t="s">
        <v>2740</v>
      </c>
      <c r="J50" s="11" t="s">
        <v>2741</v>
      </c>
      <c r="K50" s="11" t="s">
        <v>2730</v>
      </c>
      <c r="L50" s="11" t="s">
        <v>2719</v>
      </c>
      <c r="M50" s="11" t="s">
        <v>2732</v>
      </c>
      <c r="N50" s="11" t="s">
        <v>3025</v>
      </c>
      <c r="O50" s="19" t="s">
        <v>3026</v>
      </c>
      <c r="P50" s="20" t="s">
        <v>2723</v>
      </c>
      <c r="Q50" s="21"/>
      <c r="R50" s="21"/>
      <c r="S50" s="21"/>
      <c r="T50" s="22"/>
      <c r="U50" s="22"/>
      <c r="V50" s="22"/>
      <c r="W50" s="23"/>
      <c r="X50" s="23"/>
      <c r="Y50" s="23"/>
      <c r="Z50" s="24" t="s">
        <v>3027</v>
      </c>
    </row>
    <row r="51" spans="1:26" ht="30" x14ac:dyDescent="0.25">
      <c r="A51" s="11">
        <v>46</v>
      </c>
      <c r="B51" s="11" t="s">
        <v>2953</v>
      </c>
      <c r="C51" s="17" t="s">
        <v>3028</v>
      </c>
      <c r="D51" s="11" t="s">
        <v>3029</v>
      </c>
      <c r="E51" s="11" t="s">
        <v>3030</v>
      </c>
      <c r="F51" s="11" t="s">
        <v>3031</v>
      </c>
      <c r="G51" s="11" t="s">
        <v>2720</v>
      </c>
      <c r="H51" s="11" t="s">
        <v>2739</v>
      </c>
      <c r="I51" s="11" t="s">
        <v>2716</v>
      </c>
      <c r="J51" s="11" t="s">
        <v>2717</v>
      </c>
      <c r="K51" s="11" t="s">
        <v>2730</v>
      </c>
      <c r="L51" s="11" t="s">
        <v>2719</v>
      </c>
      <c r="M51" s="11" t="s">
        <v>2732</v>
      </c>
      <c r="N51" s="11" t="s">
        <v>3032</v>
      </c>
      <c r="O51" s="19" t="s">
        <v>3033</v>
      </c>
      <c r="P51" s="25" t="s">
        <v>2750</v>
      </c>
      <c r="Q51" s="21"/>
      <c r="R51" s="21"/>
      <c r="S51" s="21"/>
      <c r="T51" s="22"/>
      <c r="U51" s="22"/>
      <c r="V51" s="22"/>
      <c r="W51" s="23"/>
      <c r="X51" s="23"/>
      <c r="Y51" s="23"/>
      <c r="Z51" s="24" t="s">
        <v>3034</v>
      </c>
    </row>
    <row r="52" spans="1:26" ht="30" x14ac:dyDescent="0.25">
      <c r="A52" s="11">
        <v>47</v>
      </c>
      <c r="B52" s="11" t="s">
        <v>2953</v>
      </c>
      <c r="C52" s="17" t="s">
        <v>3035</v>
      </c>
      <c r="D52" s="11" t="s">
        <v>3036</v>
      </c>
      <c r="E52" s="11" t="s">
        <v>3037</v>
      </c>
      <c r="F52" s="11" t="s">
        <v>3038</v>
      </c>
      <c r="G52" s="11" t="s">
        <v>2714</v>
      </c>
      <c r="H52" s="11" t="s">
        <v>2715</v>
      </c>
      <c r="I52" s="11" t="s">
        <v>2716</v>
      </c>
      <c r="J52" s="11" t="s">
        <v>2717</v>
      </c>
      <c r="K52" s="11" t="s">
        <v>2730</v>
      </c>
      <c r="L52" s="11" t="s">
        <v>2719</v>
      </c>
      <c r="M52" s="11" t="s">
        <v>2732</v>
      </c>
      <c r="N52" s="11" t="s">
        <v>3039</v>
      </c>
      <c r="O52" s="19" t="s">
        <v>3040</v>
      </c>
      <c r="P52" s="25" t="s">
        <v>2750</v>
      </c>
      <c r="Q52" s="21"/>
      <c r="R52" s="21"/>
      <c r="S52" s="21"/>
      <c r="T52" s="22"/>
      <c r="U52" s="22"/>
      <c r="V52" s="22"/>
      <c r="W52" s="23"/>
      <c r="X52" s="23"/>
      <c r="Y52" s="23"/>
      <c r="Z52" s="24" t="s">
        <v>3041</v>
      </c>
    </row>
    <row r="53" spans="1:26" ht="30" x14ac:dyDescent="0.25">
      <c r="A53" s="11">
        <v>48</v>
      </c>
      <c r="B53" s="11" t="s">
        <v>2953</v>
      </c>
      <c r="C53" s="17" t="s">
        <v>3042</v>
      </c>
      <c r="D53" s="11" t="s">
        <v>3043</v>
      </c>
      <c r="E53" s="11" t="s">
        <v>3044</v>
      </c>
      <c r="F53" s="11" t="s">
        <v>3045</v>
      </c>
      <c r="G53" s="11" t="s">
        <v>2728</v>
      </c>
      <c r="H53" s="11" t="s">
        <v>2729</v>
      </c>
      <c r="I53" s="11" t="s">
        <v>2716</v>
      </c>
      <c r="J53" s="11" t="s">
        <v>2717</v>
      </c>
      <c r="K53" s="11" t="s">
        <v>2718</v>
      </c>
      <c r="L53" s="11" t="s">
        <v>2719</v>
      </c>
      <c r="M53" s="18" t="s">
        <v>2720</v>
      </c>
      <c r="N53" s="11" t="s">
        <v>3046</v>
      </c>
      <c r="O53" s="19" t="s">
        <v>3047</v>
      </c>
      <c r="P53" s="27" t="s">
        <v>2808</v>
      </c>
      <c r="Q53" s="21"/>
      <c r="R53" s="21"/>
      <c r="S53" s="21"/>
      <c r="T53" s="22"/>
      <c r="U53" s="22"/>
      <c r="V53" s="22"/>
      <c r="W53" s="23"/>
      <c r="X53" s="23"/>
      <c r="Y53" s="23"/>
      <c r="Z53" s="24" t="s">
        <v>3048</v>
      </c>
    </row>
    <row r="54" spans="1:26" ht="30" x14ac:dyDescent="0.25">
      <c r="A54" s="11">
        <v>49</v>
      </c>
      <c r="B54" s="11" t="s">
        <v>2953</v>
      </c>
      <c r="C54" s="17" t="s">
        <v>3049</v>
      </c>
      <c r="D54" s="11" t="s">
        <v>3050</v>
      </c>
      <c r="E54" s="11" t="s">
        <v>3051</v>
      </c>
      <c r="F54" s="11" t="s">
        <v>3052</v>
      </c>
      <c r="G54" s="11" t="s">
        <v>2714</v>
      </c>
      <c r="H54" s="11" t="s">
        <v>2729</v>
      </c>
      <c r="I54" s="11" t="s">
        <v>2716</v>
      </c>
      <c r="J54" s="11" t="s">
        <v>2717</v>
      </c>
      <c r="K54" s="11" t="s">
        <v>2730</v>
      </c>
      <c r="L54" s="11" t="s">
        <v>2719</v>
      </c>
      <c r="M54" s="28" t="s">
        <v>2714</v>
      </c>
      <c r="N54" s="11" t="s">
        <v>3053</v>
      </c>
      <c r="O54" s="19" t="s">
        <v>3054</v>
      </c>
      <c r="P54" s="25" t="s">
        <v>2750</v>
      </c>
      <c r="Q54" s="21"/>
      <c r="R54" s="21"/>
      <c r="S54" s="21"/>
      <c r="T54" s="22"/>
      <c r="U54" s="22"/>
      <c r="V54" s="22"/>
      <c r="W54" s="23"/>
      <c r="X54" s="23"/>
      <c r="Y54" s="23"/>
      <c r="Z54" s="24" t="s">
        <v>3055</v>
      </c>
    </row>
    <row r="55" spans="1:26" ht="30" x14ac:dyDescent="0.25">
      <c r="A55" s="11">
        <v>50</v>
      </c>
      <c r="B55" s="11" t="s">
        <v>2953</v>
      </c>
      <c r="C55" s="17" t="s">
        <v>3056</v>
      </c>
      <c r="D55" s="11" t="s">
        <v>3057</v>
      </c>
      <c r="E55" s="11" t="s">
        <v>3058</v>
      </c>
      <c r="F55" s="11" t="s">
        <v>3059</v>
      </c>
      <c r="G55" s="11" t="s">
        <v>2732</v>
      </c>
      <c r="H55" s="11" t="s">
        <v>2715</v>
      </c>
      <c r="I55" s="11" t="s">
        <v>2740</v>
      </c>
      <c r="J55" s="11" t="s">
        <v>2770</v>
      </c>
      <c r="K55" s="11" t="s">
        <v>2771</v>
      </c>
      <c r="L55" s="11" t="s">
        <v>2731</v>
      </c>
      <c r="M55" s="11" t="s">
        <v>2716</v>
      </c>
      <c r="N55" s="11" t="s">
        <v>3060</v>
      </c>
      <c r="O55" s="19" t="s">
        <v>3061</v>
      </c>
      <c r="P55" s="25" t="s">
        <v>2750</v>
      </c>
      <c r="Q55" s="21"/>
      <c r="R55" s="21"/>
      <c r="S55" s="21"/>
      <c r="T55" s="22"/>
      <c r="U55" s="22"/>
      <c r="V55" s="22"/>
      <c r="W55" s="23"/>
      <c r="X55" s="23"/>
      <c r="Y55" s="23"/>
      <c r="Z55" s="24" t="s">
        <v>3062</v>
      </c>
    </row>
    <row r="56" spans="1:26" ht="27.95" customHeight="1" x14ac:dyDescent="0.25">
      <c r="A56" s="56" t="s">
        <v>3063</v>
      </c>
      <c r="B56" s="54"/>
      <c r="C56" s="54"/>
      <c r="D56" s="54"/>
      <c r="E56" s="54"/>
      <c r="F56" s="54"/>
      <c r="G56" s="54"/>
      <c r="H56" s="54"/>
      <c r="I56" s="54"/>
      <c r="J56" s="54"/>
      <c r="K56" s="54"/>
      <c r="L56" s="54"/>
      <c r="M56" s="54"/>
      <c r="N56" s="54"/>
      <c r="O56" s="54"/>
      <c r="P56" s="54"/>
      <c r="Q56" s="54"/>
      <c r="R56" s="54"/>
      <c r="S56" s="54"/>
      <c r="T56" s="54"/>
      <c r="U56" s="54"/>
      <c r="V56" s="54"/>
      <c r="W56" s="54"/>
      <c r="X56" s="54"/>
      <c r="Y56" s="54"/>
      <c r="Z56" s="55"/>
    </row>
    <row r="57" spans="1:26" ht="30" x14ac:dyDescent="0.25">
      <c r="A57" s="11">
        <v>51</v>
      </c>
      <c r="B57" s="11" t="s">
        <v>3064</v>
      </c>
      <c r="C57" s="17" t="s">
        <v>3065</v>
      </c>
      <c r="D57" s="11" t="s">
        <v>3066</v>
      </c>
      <c r="E57" s="11" t="s">
        <v>3067</v>
      </c>
      <c r="F57" s="11" t="s">
        <v>2727</v>
      </c>
      <c r="G57" s="11" t="s">
        <v>2732</v>
      </c>
      <c r="H57" s="11" t="s">
        <v>2769</v>
      </c>
      <c r="I57" s="11" t="s">
        <v>2740</v>
      </c>
      <c r="J57" s="11" t="s">
        <v>2770</v>
      </c>
      <c r="K57" s="11" t="s">
        <v>3068</v>
      </c>
      <c r="L57" s="11" t="s">
        <v>2731</v>
      </c>
      <c r="M57" s="11" t="s">
        <v>2716</v>
      </c>
      <c r="N57" s="11" t="s">
        <v>3069</v>
      </c>
      <c r="O57" s="19" t="s">
        <v>3070</v>
      </c>
      <c r="P57" s="26" t="s">
        <v>2774</v>
      </c>
      <c r="Q57" s="21"/>
      <c r="R57" s="21"/>
      <c r="S57" s="21"/>
      <c r="T57" s="22"/>
      <c r="U57" s="22"/>
      <c r="V57" s="22"/>
      <c r="W57" s="23"/>
      <c r="X57" s="23"/>
      <c r="Y57" s="23"/>
      <c r="Z57" s="24" t="s">
        <v>3071</v>
      </c>
    </row>
    <row r="58" spans="1:26" ht="30" x14ac:dyDescent="0.25">
      <c r="A58" s="11">
        <v>52</v>
      </c>
      <c r="B58" s="11" t="s">
        <v>3064</v>
      </c>
      <c r="C58" s="17" t="s">
        <v>3065</v>
      </c>
      <c r="D58" s="11" t="s">
        <v>3072</v>
      </c>
      <c r="E58" s="11" t="s">
        <v>3073</v>
      </c>
      <c r="F58" s="11" t="s">
        <v>2755</v>
      </c>
      <c r="G58" s="11" t="s">
        <v>2720</v>
      </c>
      <c r="H58" s="11" t="s">
        <v>2739</v>
      </c>
      <c r="I58" s="11" t="s">
        <v>2740</v>
      </c>
      <c r="J58" s="11" t="s">
        <v>2770</v>
      </c>
      <c r="K58" s="11" t="s">
        <v>2771</v>
      </c>
      <c r="L58" s="11" t="s">
        <v>2719</v>
      </c>
      <c r="M58" s="11" t="s">
        <v>2716</v>
      </c>
      <c r="N58" s="11" t="s">
        <v>3074</v>
      </c>
      <c r="O58" s="19" t="s">
        <v>3075</v>
      </c>
      <c r="P58" s="20" t="s">
        <v>2723</v>
      </c>
      <c r="Q58" s="21"/>
      <c r="R58" s="21"/>
      <c r="S58" s="21"/>
      <c r="T58" s="22"/>
      <c r="U58" s="22"/>
      <c r="V58" s="22"/>
      <c r="W58" s="23"/>
      <c r="X58" s="23"/>
      <c r="Y58" s="23"/>
      <c r="Z58" s="24" t="s">
        <v>3076</v>
      </c>
    </row>
    <row r="59" spans="1:26" ht="30" x14ac:dyDescent="0.25">
      <c r="A59" s="11">
        <v>53</v>
      </c>
      <c r="B59" s="11" t="s">
        <v>3064</v>
      </c>
      <c r="C59" s="17" t="s">
        <v>3077</v>
      </c>
      <c r="D59" s="11" t="s">
        <v>3078</v>
      </c>
      <c r="E59" s="11" t="s">
        <v>3079</v>
      </c>
      <c r="F59" s="11" t="s">
        <v>2755</v>
      </c>
      <c r="G59" s="11" t="s">
        <v>2720</v>
      </c>
      <c r="H59" s="11" t="s">
        <v>2739</v>
      </c>
      <c r="I59" s="11" t="s">
        <v>2740</v>
      </c>
      <c r="J59" s="11" t="s">
        <v>2770</v>
      </c>
      <c r="K59" s="11" t="s">
        <v>2771</v>
      </c>
      <c r="L59" s="11" t="s">
        <v>2731</v>
      </c>
      <c r="M59" s="11" t="s">
        <v>2716</v>
      </c>
      <c r="N59" s="11" t="s">
        <v>3080</v>
      </c>
      <c r="O59" s="19" t="s">
        <v>3081</v>
      </c>
      <c r="P59" s="26" t="s">
        <v>2774</v>
      </c>
      <c r="Q59" s="21"/>
      <c r="R59" s="21"/>
      <c r="S59" s="21"/>
      <c r="T59" s="22"/>
      <c r="U59" s="22"/>
      <c r="V59" s="22"/>
      <c r="W59" s="23"/>
      <c r="X59" s="23"/>
      <c r="Y59" s="23"/>
      <c r="Z59" s="24" t="s">
        <v>3082</v>
      </c>
    </row>
    <row r="60" spans="1:26" ht="30" x14ac:dyDescent="0.25">
      <c r="A60" s="11">
        <v>54</v>
      </c>
      <c r="B60" s="11" t="s">
        <v>3064</v>
      </c>
      <c r="C60" s="17" t="s">
        <v>3077</v>
      </c>
      <c r="D60" s="11" t="s">
        <v>3083</v>
      </c>
      <c r="E60" s="11" t="s">
        <v>3084</v>
      </c>
      <c r="F60" s="11" t="s">
        <v>3085</v>
      </c>
      <c r="G60" s="11" t="s">
        <v>2714</v>
      </c>
      <c r="H60" s="11" t="s">
        <v>2715</v>
      </c>
      <c r="I60" s="11" t="s">
        <v>2740</v>
      </c>
      <c r="J60" s="11" t="s">
        <v>2741</v>
      </c>
      <c r="K60" s="11" t="s">
        <v>2762</v>
      </c>
      <c r="L60" s="11" t="s">
        <v>2719</v>
      </c>
      <c r="M60" s="11" t="s">
        <v>2732</v>
      </c>
      <c r="N60" s="11" t="s">
        <v>3086</v>
      </c>
      <c r="O60" s="19" t="s">
        <v>3087</v>
      </c>
      <c r="P60" s="20" t="s">
        <v>2723</v>
      </c>
      <c r="Q60" s="21"/>
      <c r="R60" s="21"/>
      <c r="S60" s="21"/>
      <c r="T60" s="22"/>
      <c r="U60" s="22"/>
      <c r="V60" s="22"/>
      <c r="W60" s="23"/>
      <c r="X60" s="23"/>
      <c r="Y60" s="23"/>
      <c r="Z60" s="24" t="s">
        <v>3088</v>
      </c>
    </row>
    <row r="61" spans="1:26" ht="30" x14ac:dyDescent="0.25">
      <c r="A61" s="11">
        <v>55</v>
      </c>
      <c r="B61" s="11" t="s">
        <v>3064</v>
      </c>
      <c r="C61" s="17" t="s">
        <v>3089</v>
      </c>
      <c r="D61" s="11" t="s">
        <v>3090</v>
      </c>
      <c r="E61" s="11" t="s">
        <v>3091</v>
      </c>
      <c r="F61" s="11" t="s">
        <v>2727</v>
      </c>
      <c r="G61" s="11" t="s">
        <v>2714</v>
      </c>
      <c r="H61" s="11" t="s">
        <v>2729</v>
      </c>
      <c r="I61" s="11" t="s">
        <v>2740</v>
      </c>
      <c r="J61" s="11" t="s">
        <v>2741</v>
      </c>
      <c r="K61" s="11" t="s">
        <v>2730</v>
      </c>
      <c r="L61" s="11" t="s">
        <v>2719</v>
      </c>
      <c r="M61" s="11" t="s">
        <v>2732</v>
      </c>
      <c r="N61" s="11" t="s">
        <v>3092</v>
      </c>
      <c r="O61" s="19" t="s">
        <v>3093</v>
      </c>
      <c r="P61" s="20" t="s">
        <v>2723</v>
      </c>
      <c r="Q61" s="21"/>
      <c r="R61" s="21"/>
      <c r="S61" s="21"/>
      <c r="T61" s="22"/>
      <c r="U61" s="22"/>
      <c r="V61" s="22"/>
      <c r="W61" s="23"/>
      <c r="X61" s="23"/>
      <c r="Y61" s="23"/>
      <c r="Z61" s="24" t="s">
        <v>3094</v>
      </c>
    </row>
    <row r="62" spans="1:26" ht="30" x14ac:dyDescent="0.25">
      <c r="A62" s="11">
        <v>56</v>
      </c>
      <c r="B62" s="11" t="s">
        <v>3064</v>
      </c>
      <c r="C62" s="17" t="s">
        <v>3089</v>
      </c>
      <c r="D62" s="11" t="s">
        <v>3095</v>
      </c>
      <c r="E62" s="11" t="s">
        <v>3096</v>
      </c>
      <c r="F62" s="11" t="s">
        <v>2727</v>
      </c>
      <c r="G62" s="11" t="s">
        <v>2720</v>
      </c>
      <c r="H62" s="11" t="s">
        <v>2739</v>
      </c>
      <c r="I62" s="11" t="s">
        <v>2740</v>
      </c>
      <c r="J62" s="11" t="s">
        <v>2770</v>
      </c>
      <c r="K62" s="11" t="s">
        <v>2762</v>
      </c>
      <c r="L62" s="11" t="s">
        <v>2731</v>
      </c>
      <c r="M62" s="11" t="s">
        <v>2716</v>
      </c>
      <c r="N62" s="11" t="s">
        <v>3097</v>
      </c>
      <c r="O62" s="19" t="s">
        <v>3098</v>
      </c>
      <c r="P62" s="20" t="s">
        <v>2723</v>
      </c>
      <c r="Q62" s="21"/>
      <c r="R62" s="21"/>
      <c r="S62" s="21"/>
      <c r="T62" s="22"/>
      <c r="U62" s="22"/>
      <c r="V62" s="22"/>
      <c r="W62" s="23"/>
      <c r="X62" s="23"/>
      <c r="Y62" s="23"/>
      <c r="Z62" s="24" t="s">
        <v>3099</v>
      </c>
    </row>
    <row r="63" spans="1:26" ht="30" x14ac:dyDescent="0.25">
      <c r="A63" s="11">
        <v>57</v>
      </c>
      <c r="B63" s="11" t="s">
        <v>3064</v>
      </c>
      <c r="C63" s="17" t="s">
        <v>3100</v>
      </c>
      <c r="D63" s="11" t="s">
        <v>3101</v>
      </c>
      <c r="E63" s="11" t="s">
        <v>3102</v>
      </c>
      <c r="F63" s="11" t="s">
        <v>2727</v>
      </c>
      <c r="G63" s="11" t="s">
        <v>2714</v>
      </c>
      <c r="H63" s="11" t="s">
        <v>2715</v>
      </c>
      <c r="I63" s="11" t="s">
        <v>2716</v>
      </c>
      <c r="J63" s="11" t="s">
        <v>2717</v>
      </c>
      <c r="K63" s="11" t="s">
        <v>2718</v>
      </c>
      <c r="L63" s="11" t="s">
        <v>2719</v>
      </c>
      <c r="M63" s="11" t="s">
        <v>2732</v>
      </c>
      <c r="N63" s="11" t="s">
        <v>3103</v>
      </c>
      <c r="O63" s="19" t="s">
        <v>3104</v>
      </c>
      <c r="P63" s="25" t="s">
        <v>2750</v>
      </c>
      <c r="Q63" s="21"/>
      <c r="R63" s="21"/>
      <c r="S63" s="21"/>
      <c r="T63" s="22"/>
      <c r="U63" s="22"/>
      <c r="V63" s="22"/>
      <c r="W63" s="23"/>
      <c r="X63" s="23"/>
      <c r="Y63" s="23"/>
      <c r="Z63" s="24" t="s">
        <v>3105</v>
      </c>
    </row>
    <row r="64" spans="1:26" ht="30" x14ac:dyDescent="0.25">
      <c r="A64" s="11">
        <v>58</v>
      </c>
      <c r="B64" s="11" t="s">
        <v>3064</v>
      </c>
      <c r="C64" s="17" t="s">
        <v>3106</v>
      </c>
      <c r="D64" s="11" t="s">
        <v>3107</v>
      </c>
      <c r="E64" s="11" t="s">
        <v>3108</v>
      </c>
      <c r="F64" s="11" t="s">
        <v>2727</v>
      </c>
      <c r="G64" s="11" t="s">
        <v>2714</v>
      </c>
      <c r="H64" s="11" t="s">
        <v>2715</v>
      </c>
      <c r="I64" s="11" t="s">
        <v>2716</v>
      </c>
      <c r="J64" s="11" t="s">
        <v>2717</v>
      </c>
      <c r="K64" s="11" t="s">
        <v>2877</v>
      </c>
      <c r="L64" s="11" t="s">
        <v>2731</v>
      </c>
      <c r="M64" s="11" t="s">
        <v>2732</v>
      </c>
      <c r="N64" s="11" t="s">
        <v>3109</v>
      </c>
      <c r="O64" s="19" t="s">
        <v>3110</v>
      </c>
      <c r="P64" s="20" t="s">
        <v>2723</v>
      </c>
      <c r="Q64" s="21"/>
      <c r="R64" s="21"/>
      <c r="S64" s="21"/>
      <c r="T64" s="22"/>
      <c r="U64" s="22"/>
      <c r="V64" s="22"/>
      <c r="W64" s="23"/>
      <c r="X64" s="23"/>
      <c r="Y64" s="23"/>
      <c r="Z64" s="24" t="s">
        <v>3111</v>
      </c>
    </row>
    <row r="65" spans="1:26" ht="30" x14ac:dyDescent="0.25">
      <c r="A65" s="11">
        <v>59</v>
      </c>
      <c r="B65" s="11" t="s">
        <v>3064</v>
      </c>
      <c r="C65" s="17" t="s">
        <v>3106</v>
      </c>
      <c r="D65" s="11" t="s">
        <v>3112</v>
      </c>
      <c r="E65" s="11" t="s">
        <v>3113</v>
      </c>
      <c r="F65" s="11" t="s">
        <v>2727</v>
      </c>
      <c r="G65" s="11" t="s">
        <v>2720</v>
      </c>
      <c r="H65" s="11" t="s">
        <v>2739</v>
      </c>
      <c r="I65" s="11" t="s">
        <v>2716</v>
      </c>
      <c r="J65" s="11" t="s">
        <v>2770</v>
      </c>
      <c r="K65" s="11" t="s">
        <v>2877</v>
      </c>
      <c r="L65" s="11" t="s">
        <v>2731</v>
      </c>
      <c r="M65" s="11" t="s">
        <v>2716</v>
      </c>
      <c r="N65" s="11" t="s">
        <v>3114</v>
      </c>
      <c r="O65" s="19" t="s">
        <v>3115</v>
      </c>
      <c r="P65" s="20" t="s">
        <v>2723</v>
      </c>
      <c r="Q65" s="21"/>
      <c r="R65" s="21"/>
      <c r="S65" s="21"/>
      <c r="T65" s="22"/>
      <c r="U65" s="22"/>
      <c r="V65" s="22"/>
      <c r="W65" s="23"/>
      <c r="X65" s="23"/>
      <c r="Y65" s="23"/>
      <c r="Z65" s="24" t="s">
        <v>3116</v>
      </c>
    </row>
    <row r="66" spans="1:26" x14ac:dyDescent="0.25">
      <c r="A66" s="11">
        <v>60</v>
      </c>
      <c r="B66" s="11" t="s">
        <v>3064</v>
      </c>
      <c r="C66" s="17" t="s">
        <v>3106</v>
      </c>
      <c r="D66" s="11" t="s">
        <v>3117</v>
      </c>
      <c r="E66" s="11" t="s">
        <v>3118</v>
      </c>
      <c r="F66" s="11" t="s">
        <v>2727</v>
      </c>
      <c r="G66" s="11" t="s">
        <v>2720</v>
      </c>
      <c r="H66" s="11" t="s">
        <v>2739</v>
      </c>
      <c r="I66" s="11" t="s">
        <v>2716</v>
      </c>
      <c r="J66" s="11" t="s">
        <v>2717</v>
      </c>
      <c r="K66" s="11" t="s">
        <v>2877</v>
      </c>
      <c r="L66" s="11" t="s">
        <v>2731</v>
      </c>
      <c r="M66" s="11" t="s">
        <v>2732</v>
      </c>
      <c r="N66" s="11" t="s">
        <v>3119</v>
      </c>
      <c r="O66" s="19" t="s">
        <v>3120</v>
      </c>
      <c r="P66" s="25" t="s">
        <v>2750</v>
      </c>
      <c r="Q66" s="21"/>
      <c r="R66" s="21"/>
      <c r="S66" s="21"/>
      <c r="T66" s="22"/>
      <c r="U66" s="22"/>
      <c r="V66" s="22"/>
      <c r="W66" s="23"/>
      <c r="X66" s="23"/>
      <c r="Y66" s="23"/>
      <c r="Z66" s="24" t="s">
        <v>3121</v>
      </c>
    </row>
    <row r="67" spans="1:26" x14ac:dyDescent="0.25">
      <c r="A67" s="11">
        <v>61</v>
      </c>
      <c r="B67" s="11" t="s">
        <v>3064</v>
      </c>
      <c r="C67" s="17" t="s">
        <v>3122</v>
      </c>
      <c r="D67" s="11" t="s">
        <v>3123</v>
      </c>
      <c r="E67" s="11" t="s">
        <v>3124</v>
      </c>
      <c r="F67" s="11" t="s">
        <v>2727</v>
      </c>
      <c r="G67" s="11" t="s">
        <v>2732</v>
      </c>
      <c r="H67" s="11" t="s">
        <v>2769</v>
      </c>
      <c r="I67" s="11" t="s">
        <v>2740</v>
      </c>
      <c r="J67" s="11" t="s">
        <v>2770</v>
      </c>
      <c r="K67" s="11" t="s">
        <v>3125</v>
      </c>
      <c r="L67" s="11" t="s">
        <v>2731</v>
      </c>
      <c r="M67" s="11" t="s">
        <v>2716</v>
      </c>
      <c r="N67" s="11" t="s">
        <v>3126</v>
      </c>
      <c r="O67" s="19" t="s">
        <v>3127</v>
      </c>
      <c r="P67" s="26" t="s">
        <v>2774</v>
      </c>
      <c r="Q67" s="21"/>
      <c r="R67" s="21"/>
      <c r="S67" s="21"/>
      <c r="T67" s="22"/>
      <c r="U67" s="22"/>
      <c r="V67" s="22"/>
      <c r="W67" s="23"/>
      <c r="X67" s="23"/>
      <c r="Y67" s="23"/>
      <c r="Z67" s="24" t="s">
        <v>3128</v>
      </c>
    </row>
    <row r="68" spans="1:26" x14ac:dyDescent="0.25">
      <c r="A68" s="11">
        <v>62</v>
      </c>
      <c r="B68" s="11" t="s">
        <v>3064</v>
      </c>
      <c r="C68" s="17" t="s">
        <v>3129</v>
      </c>
      <c r="D68" s="11" t="s">
        <v>3130</v>
      </c>
      <c r="E68" s="11" t="s">
        <v>3131</v>
      </c>
      <c r="F68" s="11" t="s">
        <v>2727</v>
      </c>
      <c r="G68" s="11" t="s">
        <v>2714</v>
      </c>
      <c r="H68" s="11" t="s">
        <v>2715</v>
      </c>
      <c r="I68" s="11" t="s">
        <v>2740</v>
      </c>
      <c r="J68" s="11" t="s">
        <v>2741</v>
      </c>
      <c r="K68" s="11" t="s">
        <v>2730</v>
      </c>
      <c r="L68" s="11" t="s">
        <v>2719</v>
      </c>
      <c r="M68" s="11" t="s">
        <v>2732</v>
      </c>
      <c r="N68" s="11" t="s">
        <v>3132</v>
      </c>
      <c r="O68" s="19" t="s">
        <v>3133</v>
      </c>
      <c r="P68" s="25" t="s">
        <v>2750</v>
      </c>
      <c r="Q68" s="21"/>
      <c r="R68" s="21"/>
      <c r="S68" s="21"/>
      <c r="T68" s="22"/>
      <c r="U68" s="22"/>
      <c r="V68" s="22"/>
      <c r="W68" s="23"/>
      <c r="X68" s="23"/>
      <c r="Y68" s="23"/>
      <c r="Z68" s="24" t="s">
        <v>3134</v>
      </c>
    </row>
    <row r="69" spans="1:26" x14ac:dyDescent="0.25">
      <c r="A69" s="11">
        <v>63</v>
      </c>
      <c r="B69" s="11" t="s">
        <v>3064</v>
      </c>
      <c r="C69" s="17" t="s">
        <v>3135</v>
      </c>
      <c r="D69" s="11" t="s">
        <v>3136</v>
      </c>
      <c r="E69" s="11" t="s">
        <v>3137</v>
      </c>
      <c r="F69" s="11" t="s">
        <v>2727</v>
      </c>
      <c r="G69" s="11" t="s">
        <v>2732</v>
      </c>
      <c r="H69" s="11" t="s">
        <v>2769</v>
      </c>
      <c r="I69" s="11" t="s">
        <v>2740</v>
      </c>
      <c r="J69" s="11" t="s">
        <v>2770</v>
      </c>
      <c r="K69" s="11" t="s">
        <v>3125</v>
      </c>
      <c r="L69" s="11" t="s">
        <v>2731</v>
      </c>
      <c r="M69" s="11" t="s">
        <v>2716</v>
      </c>
      <c r="N69" s="11" t="s">
        <v>3138</v>
      </c>
      <c r="O69" s="19" t="s">
        <v>3139</v>
      </c>
      <c r="P69" s="25" t="s">
        <v>2750</v>
      </c>
      <c r="Q69" s="21"/>
      <c r="R69" s="21"/>
      <c r="S69" s="21"/>
      <c r="T69" s="22"/>
      <c r="U69" s="22"/>
      <c r="V69" s="22"/>
      <c r="W69" s="23"/>
      <c r="X69" s="23"/>
      <c r="Y69" s="23"/>
      <c r="Z69" s="24" t="s">
        <v>3140</v>
      </c>
    </row>
    <row r="70" spans="1:26" ht="27.95" customHeight="1" x14ac:dyDescent="0.25">
      <c r="A70" s="58" t="s">
        <v>3141</v>
      </c>
      <c r="B70" s="54"/>
      <c r="C70" s="54"/>
      <c r="D70" s="54"/>
      <c r="E70" s="54"/>
      <c r="F70" s="54"/>
      <c r="G70" s="54"/>
      <c r="H70" s="54"/>
      <c r="I70" s="54"/>
      <c r="J70" s="54"/>
      <c r="K70" s="54"/>
      <c r="L70" s="54"/>
      <c r="M70" s="54"/>
      <c r="N70" s="54"/>
      <c r="O70" s="54"/>
      <c r="P70" s="54"/>
      <c r="Q70" s="54"/>
      <c r="R70" s="54"/>
      <c r="S70" s="54"/>
      <c r="T70" s="54"/>
      <c r="U70" s="54"/>
      <c r="V70" s="54"/>
      <c r="W70" s="54"/>
      <c r="X70" s="54"/>
      <c r="Y70" s="54"/>
      <c r="Z70" s="55"/>
    </row>
    <row r="71" spans="1:26" ht="30" x14ac:dyDescent="0.25">
      <c r="A71" s="11">
        <v>64</v>
      </c>
      <c r="B71" s="11" t="s">
        <v>3142</v>
      </c>
      <c r="C71" s="17" t="s">
        <v>3143</v>
      </c>
      <c r="D71" s="11" t="s">
        <v>3144</v>
      </c>
      <c r="E71" s="11" t="s">
        <v>3145</v>
      </c>
      <c r="F71" s="11" t="s">
        <v>20</v>
      </c>
      <c r="G71" s="11" t="s">
        <v>2714</v>
      </c>
      <c r="H71" s="11" t="s">
        <v>2715</v>
      </c>
      <c r="I71" s="11" t="s">
        <v>2716</v>
      </c>
      <c r="J71" s="11" t="s">
        <v>2717</v>
      </c>
      <c r="K71" s="11" t="s">
        <v>2730</v>
      </c>
      <c r="L71" s="29" t="s">
        <v>3146</v>
      </c>
      <c r="M71" s="18" t="s">
        <v>2720</v>
      </c>
      <c r="N71" s="11" t="s">
        <v>3147</v>
      </c>
      <c r="O71" s="19" t="s">
        <v>3148</v>
      </c>
      <c r="P71" s="26" t="s">
        <v>2774</v>
      </c>
      <c r="Q71" s="21"/>
      <c r="R71" s="21"/>
      <c r="S71" s="21"/>
      <c r="T71" s="22"/>
      <c r="U71" s="22"/>
      <c r="V71" s="22"/>
      <c r="W71" s="23"/>
      <c r="X71" s="23"/>
      <c r="Y71" s="23"/>
      <c r="Z71" s="24" t="s">
        <v>3149</v>
      </c>
    </row>
    <row r="72" spans="1:26" ht="30" x14ac:dyDescent="0.25">
      <c r="A72" s="11">
        <v>65</v>
      </c>
      <c r="B72" s="11" t="s">
        <v>3142</v>
      </c>
      <c r="C72" s="17" t="s">
        <v>3143</v>
      </c>
      <c r="D72" s="11" t="s">
        <v>3150</v>
      </c>
      <c r="E72" s="11" t="s">
        <v>3151</v>
      </c>
      <c r="F72" s="11" t="s">
        <v>20</v>
      </c>
      <c r="G72" s="11" t="s">
        <v>2720</v>
      </c>
      <c r="H72" s="11" t="s">
        <v>2739</v>
      </c>
      <c r="I72" s="11" t="s">
        <v>2716</v>
      </c>
      <c r="J72" s="11" t="s">
        <v>2717</v>
      </c>
      <c r="K72" s="11" t="s">
        <v>2730</v>
      </c>
      <c r="L72" s="29" t="s">
        <v>3146</v>
      </c>
      <c r="M72" s="11" t="s">
        <v>2732</v>
      </c>
      <c r="N72" s="11" t="s">
        <v>3152</v>
      </c>
      <c r="O72" s="19" t="s">
        <v>3153</v>
      </c>
      <c r="P72" s="20" t="s">
        <v>2723</v>
      </c>
      <c r="Q72" s="21"/>
      <c r="R72" s="21"/>
      <c r="S72" s="21"/>
      <c r="T72" s="22"/>
      <c r="U72" s="22"/>
      <c r="V72" s="22"/>
      <c r="W72" s="23"/>
      <c r="X72" s="23"/>
      <c r="Y72" s="23"/>
      <c r="Z72" s="24" t="s">
        <v>3154</v>
      </c>
    </row>
    <row r="73" spans="1:26" ht="30" x14ac:dyDescent="0.25">
      <c r="A73" s="11">
        <v>66</v>
      </c>
      <c r="B73" s="11" t="s">
        <v>3142</v>
      </c>
      <c r="C73" s="17" t="s">
        <v>3143</v>
      </c>
      <c r="D73" s="11" t="s">
        <v>3155</v>
      </c>
      <c r="E73" s="11" t="s">
        <v>3156</v>
      </c>
      <c r="F73" s="11" t="s">
        <v>20</v>
      </c>
      <c r="G73" s="11" t="s">
        <v>2732</v>
      </c>
      <c r="H73" s="11" t="s">
        <v>2729</v>
      </c>
      <c r="I73" s="11" t="s">
        <v>2740</v>
      </c>
      <c r="J73" s="11" t="s">
        <v>2770</v>
      </c>
      <c r="K73" s="11" t="s">
        <v>2730</v>
      </c>
      <c r="L73" s="29" t="s">
        <v>3146</v>
      </c>
      <c r="M73" s="11" t="s">
        <v>2716</v>
      </c>
      <c r="N73" s="11" t="s">
        <v>3157</v>
      </c>
      <c r="O73" s="19" t="s">
        <v>3158</v>
      </c>
      <c r="P73" s="26" t="s">
        <v>2774</v>
      </c>
      <c r="Q73" s="21"/>
      <c r="R73" s="21"/>
      <c r="S73" s="21"/>
      <c r="T73" s="22"/>
      <c r="U73" s="22"/>
      <c r="V73" s="22"/>
      <c r="W73" s="23"/>
      <c r="X73" s="23"/>
      <c r="Y73" s="23"/>
      <c r="Z73" s="24" t="s">
        <v>3159</v>
      </c>
    </row>
    <row r="74" spans="1:26" ht="30" x14ac:dyDescent="0.25">
      <c r="A74" s="11">
        <v>67</v>
      </c>
      <c r="B74" s="11" t="s">
        <v>3142</v>
      </c>
      <c r="C74" s="17" t="s">
        <v>3143</v>
      </c>
      <c r="D74" s="11" t="s">
        <v>3160</v>
      </c>
      <c r="E74" s="11" t="s">
        <v>3161</v>
      </c>
      <c r="F74" s="11" t="s">
        <v>20</v>
      </c>
      <c r="G74" s="11" t="s">
        <v>2728</v>
      </c>
      <c r="H74" s="11" t="s">
        <v>2739</v>
      </c>
      <c r="I74" s="11" t="s">
        <v>2716</v>
      </c>
      <c r="J74" s="11" t="s">
        <v>2741</v>
      </c>
      <c r="K74" s="11" t="s">
        <v>2730</v>
      </c>
      <c r="L74" s="29" t="s">
        <v>3146</v>
      </c>
      <c r="M74" s="11" t="s">
        <v>2732</v>
      </c>
      <c r="N74" s="11" t="s">
        <v>3162</v>
      </c>
      <c r="O74" s="19" t="s">
        <v>3163</v>
      </c>
      <c r="P74" s="26" t="s">
        <v>2774</v>
      </c>
      <c r="Q74" s="21"/>
      <c r="R74" s="21"/>
      <c r="S74" s="21"/>
      <c r="T74" s="22"/>
      <c r="U74" s="22"/>
      <c r="V74" s="22"/>
      <c r="W74" s="23"/>
      <c r="X74" s="23"/>
      <c r="Y74" s="23"/>
      <c r="Z74" s="24" t="s">
        <v>3164</v>
      </c>
    </row>
    <row r="75" spans="1:26" ht="30" x14ac:dyDescent="0.25">
      <c r="A75" s="11">
        <v>68</v>
      </c>
      <c r="B75" s="11" t="s">
        <v>3142</v>
      </c>
      <c r="C75" s="17" t="s">
        <v>3143</v>
      </c>
      <c r="D75" s="11" t="s">
        <v>3165</v>
      </c>
      <c r="E75" s="11" t="s">
        <v>3166</v>
      </c>
      <c r="F75" s="11" t="s">
        <v>20</v>
      </c>
      <c r="G75" s="11" t="s">
        <v>2732</v>
      </c>
      <c r="H75" s="11" t="s">
        <v>2769</v>
      </c>
      <c r="I75" s="11" t="s">
        <v>2740</v>
      </c>
      <c r="J75" s="11" t="s">
        <v>2741</v>
      </c>
      <c r="K75" s="11" t="s">
        <v>3167</v>
      </c>
      <c r="L75" s="29" t="s">
        <v>3146</v>
      </c>
      <c r="M75" s="11" t="s">
        <v>2716</v>
      </c>
      <c r="N75" s="11" t="s">
        <v>3168</v>
      </c>
      <c r="O75" s="19" t="s">
        <v>3169</v>
      </c>
      <c r="P75" s="20" t="s">
        <v>2723</v>
      </c>
      <c r="Q75" s="21"/>
      <c r="R75" s="21"/>
      <c r="S75" s="21"/>
      <c r="T75" s="22"/>
      <c r="U75" s="22"/>
      <c r="V75" s="22"/>
      <c r="W75" s="23"/>
      <c r="X75" s="23"/>
      <c r="Y75" s="23"/>
      <c r="Z75" s="24" t="s">
        <v>3170</v>
      </c>
    </row>
    <row r="76" spans="1:26" ht="30" x14ac:dyDescent="0.25">
      <c r="A76" s="11">
        <v>69</v>
      </c>
      <c r="B76" s="11" t="s">
        <v>3142</v>
      </c>
      <c r="C76" s="17" t="s">
        <v>3143</v>
      </c>
      <c r="D76" s="11" t="s">
        <v>3171</v>
      </c>
      <c r="E76" s="11" t="s">
        <v>3172</v>
      </c>
      <c r="F76" s="11" t="s">
        <v>20</v>
      </c>
      <c r="G76" s="11" t="s">
        <v>2732</v>
      </c>
      <c r="H76" s="11" t="s">
        <v>2769</v>
      </c>
      <c r="I76" s="11" t="s">
        <v>2740</v>
      </c>
      <c r="J76" s="11" t="s">
        <v>2741</v>
      </c>
      <c r="K76" s="11" t="s">
        <v>3173</v>
      </c>
      <c r="L76" s="29" t="s">
        <v>3146</v>
      </c>
      <c r="M76" s="11" t="s">
        <v>2716</v>
      </c>
      <c r="N76" s="11" t="s">
        <v>3174</v>
      </c>
      <c r="O76" s="19" t="s">
        <v>3175</v>
      </c>
      <c r="P76" s="26" t="s">
        <v>2774</v>
      </c>
      <c r="Q76" s="21"/>
      <c r="R76" s="21"/>
      <c r="S76" s="21"/>
      <c r="T76" s="22"/>
      <c r="U76" s="22"/>
      <c r="V76" s="22"/>
      <c r="W76" s="23"/>
      <c r="X76" s="23"/>
      <c r="Y76" s="23"/>
      <c r="Z76" s="24" t="s">
        <v>3176</v>
      </c>
    </row>
    <row r="77" spans="1:26" ht="30" x14ac:dyDescent="0.25">
      <c r="A77" s="11">
        <v>70</v>
      </c>
      <c r="B77" s="11" t="s">
        <v>3142</v>
      </c>
      <c r="C77" s="17" t="s">
        <v>3143</v>
      </c>
      <c r="D77" s="11" t="s">
        <v>3177</v>
      </c>
      <c r="E77" s="11" t="s">
        <v>3178</v>
      </c>
      <c r="F77" s="11" t="s">
        <v>20</v>
      </c>
      <c r="G77" s="11" t="s">
        <v>2720</v>
      </c>
      <c r="H77" s="11" t="s">
        <v>2769</v>
      </c>
      <c r="I77" s="11" t="s">
        <v>2716</v>
      </c>
      <c r="J77" s="11" t="s">
        <v>3179</v>
      </c>
      <c r="K77" s="11" t="s">
        <v>2730</v>
      </c>
      <c r="L77" s="29" t="s">
        <v>3146</v>
      </c>
      <c r="M77" s="11" t="s">
        <v>2732</v>
      </c>
      <c r="N77" s="11" t="s">
        <v>3180</v>
      </c>
      <c r="O77" s="19" t="s">
        <v>3181</v>
      </c>
      <c r="P77" s="26" t="s">
        <v>2774</v>
      </c>
      <c r="Q77" s="21"/>
      <c r="R77" s="21"/>
      <c r="S77" s="21"/>
      <c r="T77" s="22"/>
      <c r="U77" s="22"/>
      <c r="V77" s="22"/>
      <c r="W77" s="23"/>
      <c r="X77" s="23"/>
      <c r="Y77" s="23"/>
      <c r="Z77" s="24" t="s">
        <v>3182</v>
      </c>
    </row>
    <row r="78" spans="1:26" ht="30" x14ac:dyDescent="0.25">
      <c r="A78" s="11">
        <v>71</v>
      </c>
      <c r="B78" s="11" t="s">
        <v>3142</v>
      </c>
      <c r="C78" s="17" t="s">
        <v>3143</v>
      </c>
      <c r="D78" s="11" t="s">
        <v>3183</v>
      </c>
      <c r="E78" s="11" t="s">
        <v>3184</v>
      </c>
      <c r="F78" s="11" t="s">
        <v>20</v>
      </c>
      <c r="G78" s="11" t="s">
        <v>2714</v>
      </c>
      <c r="H78" s="11" t="s">
        <v>2729</v>
      </c>
      <c r="I78" s="11" t="s">
        <v>2716</v>
      </c>
      <c r="J78" s="11" t="s">
        <v>3185</v>
      </c>
      <c r="K78" s="11" t="s">
        <v>2730</v>
      </c>
      <c r="L78" s="11" t="s">
        <v>2731</v>
      </c>
      <c r="M78" s="11" t="s">
        <v>2732</v>
      </c>
      <c r="N78" s="11" t="s">
        <v>3186</v>
      </c>
      <c r="O78" s="19" t="s">
        <v>3187</v>
      </c>
      <c r="P78" s="26" t="s">
        <v>2774</v>
      </c>
      <c r="Q78" s="21"/>
      <c r="R78" s="21"/>
      <c r="S78" s="21"/>
      <c r="T78" s="22"/>
      <c r="U78" s="22"/>
      <c r="V78" s="22"/>
      <c r="W78" s="23"/>
      <c r="X78" s="23"/>
      <c r="Y78" s="23"/>
      <c r="Z78" s="24" t="s">
        <v>3188</v>
      </c>
    </row>
    <row r="79" spans="1:26" ht="30" x14ac:dyDescent="0.25">
      <c r="A79" s="11">
        <v>72</v>
      </c>
      <c r="B79" s="11" t="s">
        <v>3142</v>
      </c>
      <c r="C79" s="17" t="s">
        <v>3143</v>
      </c>
      <c r="D79" s="11" t="s">
        <v>3189</v>
      </c>
      <c r="E79" s="11" t="s">
        <v>3190</v>
      </c>
      <c r="F79" s="11" t="s">
        <v>20</v>
      </c>
      <c r="G79" s="11" t="s">
        <v>2720</v>
      </c>
      <c r="H79" s="11" t="s">
        <v>2769</v>
      </c>
      <c r="I79" s="11" t="s">
        <v>2740</v>
      </c>
      <c r="J79" s="11" t="s">
        <v>3191</v>
      </c>
      <c r="K79" s="11" t="s">
        <v>2730</v>
      </c>
      <c r="L79" s="29" t="s">
        <v>3146</v>
      </c>
      <c r="M79" s="11" t="s">
        <v>2716</v>
      </c>
      <c r="N79" s="11" t="s">
        <v>3192</v>
      </c>
      <c r="O79" s="19" t="s">
        <v>3193</v>
      </c>
      <c r="P79" s="20" t="s">
        <v>2723</v>
      </c>
      <c r="Q79" s="21"/>
      <c r="R79" s="21"/>
      <c r="S79" s="21"/>
      <c r="T79" s="22"/>
      <c r="U79" s="22"/>
      <c r="V79" s="22"/>
      <c r="W79" s="23"/>
      <c r="X79" s="23"/>
      <c r="Y79" s="23"/>
      <c r="Z79" s="24" t="s">
        <v>3194</v>
      </c>
    </row>
    <row r="80" spans="1:26" ht="30" x14ac:dyDescent="0.25">
      <c r="A80" s="11">
        <v>73</v>
      </c>
      <c r="B80" s="11" t="s">
        <v>3142</v>
      </c>
      <c r="C80" s="17" t="s">
        <v>3143</v>
      </c>
      <c r="D80" s="11" t="s">
        <v>3195</v>
      </c>
      <c r="E80" s="11" t="s">
        <v>3196</v>
      </c>
      <c r="F80" s="11" t="s">
        <v>20</v>
      </c>
      <c r="G80" s="11" t="s">
        <v>2720</v>
      </c>
      <c r="H80" s="11" t="s">
        <v>2739</v>
      </c>
      <c r="I80" s="11" t="s">
        <v>2716</v>
      </c>
      <c r="J80" s="11" t="s">
        <v>3197</v>
      </c>
      <c r="K80" s="11" t="s">
        <v>2730</v>
      </c>
      <c r="L80" s="11" t="s">
        <v>2719</v>
      </c>
      <c r="M80" s="11" t="s">
        <v>2716</v>
      </c>
      <c r="N80" s="11" t="s">
        <v>3198</v>
      </c>
      <c r="O80" s="19" t="s">
        <v>3199</v>
      </c>
      <c r="P80" s="20" t="s">
        <v>2723</v>
      </c>
      <c r="Q80" s="21"/>
      <c r="R80" s="21"/>
      <c r="S80" s="21"/>
      <c r="T80" s="22"/>
      <c r="U80" s="22"/>
      <c r="V80" s="22"/>
      <c r="W80" s="23"/>
      <c r="X80" s="23"/>
      <c r="Y80" s="23"/>
      <c r="Z80" s="24" t="s">
        <v>3200</v>
      </c>
    </row>
    <row r="81" spans="1:26" ht="30" x14ac:dyDescent="0.25">
      <c r="A81" s="11">
        <v>74</v>
      </c>
      <c r="B81" s="11" t="s">
        <v>3142</v>
      </c>
      <c r="C81" s="17" t="s">
        <v>3143</v>
      </c>
      <c r="D81" s="11" t="s">
        <v>3201</v>
      </c>
      <c r="E81" s="11" t="s">
        <v>3202</v>
      </c>
      <c r="F81" s="11" t="s">
        <v>20</v>
      </c>
      <c r="G81" s="11" t="s">
        <v>2732</v>
      </c>
      <c r="H81" s="11" t="s">
        <v>2769</v>
      </c>
      <c r="I81" s="11" t="s">
        <v>2740</v>
      </c>
      <c r="J81" s="11" t="s">
        <v>2770</v>
      </c>
      <c r="K81" s="11" t="s">
        <v>2771</v>
      </c>
      <c r="L81" s="11" t="s">
        <v>2719</v>
      </c>
      <c r="M81" s="11" t="s">
        <v>2716</v>
      </c>
      <c r="N81" s="11" t="s">
        <v>3203</v>
      </c>
      <c r="O81" s="19" t="s">
        <v>3204</v>
      </c>
      <c r="P81" s="20" t="s">
        <v>2723</v>
      </c>
      <c r="Q81" s="21"/>
      <c r="R81" s="21"/>
      <c r="S81" s="21"/>
      <c r="T81" s="22"/>
      <c r="U81" s="22"/>
      <c r="V81" s="22"/>
      <c r="W81" s="23"/>
      <c r="X81" s="23"/>
      <c r="Y81" s="23"/>
      <c r="Z81" s="24" t="s">
        <v>3205</v>
      </c>
    </row>
    <row r="82" spans="1:26" ht="30" x14ac:dyDescent="0.25">
      <c r="A82" s="11">
        <v>75</v>
      </c>
      <c r="B82" s="11" t="s">
        <v>3142</v>
      </c>
      <c r="C82" s="17" t="s">
        <v>3143</v>
      </c>
      <c r="D82" s="11" t="s">
        <v>3206</v>
      </c>
      <c r="E82" s="11" t="s">
        <v>3207</v>
      </c>
      <c r="F82" s="11" t="s">
        <v>20</v>
      </c>
      <c r="G82" s="11" t="s">
        <v>2714</v>
      </c>
      <c r="H82" s="11" t="s">
        <v>2729</v>
      </c>
      <c r="I82" s="11" t="s">
        <v>2740</v>
      </c>
      <c r="J82" s="11" t="s">
        <v>3208</v>
      </c>
      <c r="K82" s="11" t="s">
        <v>2730</v>
      </c>
      <c r="L82" s="29" t="s">
        <v>3146</v>
      </c>
      <c r="M82" s="11" t="s">
        <v>2732</v>
      </c>
      <c r="N82" s="11" t="s">
        <v>3209</v>
      </c>
      <c r="O82" s="19" t="s">
        <v>3210</v>
      </c>
      <c r="P82" s="25" t="s">
        <v>2750</v>
      </c>
      <c r="Q82" s="21"/>
      <c r="R82" s="21"/>
      <c r="S82" s="21"/>
      <c r="T82" s="22"/>
      <c r="U82" s="22"/>
      <c r="V82" s="22"/>
      <c r="W82" s="23"/>
      <c r="X82" s="23"/>
      <c r="Y82" s="23"/>
      <c r="Z82" s="24" t="s">
        <v>3211</v>
      </c>
    </row>
    <row r="83" spans="1:26" ht="30" x14ac:dyDescent="0.25">
      <c r="A83" s="11">
        <v>76</v>
      </c>
      <c r="B83" s="11" t="s">
        <v>3142</v>
      </c>
      <c r="C83" s="17" t="s">
        <v>3143</v>
      </c>
      <c r="D83" s="11" t="s">
        <v>3212</v>
      </c>
      <c r="E83" s="11" t="s">
        <v>3213</v>
      </c>
      <c r="F83" s="11" t="s">
        <v>20</v>
      </c>
      <c r="G83" s="11" t="s">
        <v>2714</v>
      </c>
      <c r="H83" s="11" t="s">
        <v>2729</v>
      </c>
      <c r="I83" s="11" t="s">
        <v>2716</v>
      </c>
      <c r="J83" s="11" t="s">
        <v>3179</v>
      </c>
      <c r="K83" s="11" t="s">
        <v>2730</v>
      </c>
      <c r="L83" s="11" t="s">
        <v>2719</v>
      </c>
      <c r="M83" s="28" t="s">
        <v>2714</v>
      </c>
      <c r="N83" s="11" t="s">
        <v>3214</v>
      </c>
      <c r="O83" s="19" t="s">
        <v>3215</v>
      </c>
      <c r="P83" s="26" t="s">
        <v>2774</v>
      </c>
      <c r="Q83" s="21"/>
      <c r="R83" s="21"/>
      <c r="S83" s="21"/>
      <c r="T83" s="22"/>
      <c r="U83" s="22"/>
      <c r="V83" s="22"/>
      <c r="W83" s="23"/>
      <c r="X83" s="23"/>
      <c r="Y83" s="23"/>
      <c r="Z83" s="24" t="s">
        <v>3216</v>
      </c>
    </row>
    <row r="84" spans="1:26" ht="30" x14ac:dyDescent="0.25">
      <c r="A84" s="11">
        <v>77</v>
      </c>
      <c r="B84" s="11" t="s">
        <v>3142</v>
      </c>
      <c r="C84" s="17" t="s">
        <v>3143</v>
      </c>
      <c r="D84" s="11" t="s">
        <v>3217</v>
      </c>
      <c r="E84" s="11" t="s">
        <v>3218</v>
      </c>
      <c r="F84" s="11" t="s">
        <v>20</v>
      </c>
      <c r="G84" s="11" t="s">
        <v>2720</v>
      </c>
      <c r="H84" s="11" t="s">
        <v>2739</v>
      </c>
      <c r="I84" s="11" t="s">
        <v>2740</v>
      </c>
      <c r="J84" s="11" t="s">
        <v>2741</v>
      </c>
      <c r="K84" s="11" t="s">
        <v>2730</v>
      </c>
      <c r="L84" s="11" t="s">
        <v>2719</v>
      </c>
      <c r="M84" s="18" t="s">
        <v>2720</v>
      </c>
      <c r="N84" s="11" t="s">
        <v>3219</v>
      </c>
      <c r="O84" s="19" t="s">
        <v>3220</v>
      </c>
      <c r="P84" s="20" t="s">
        <v>2723</v>
      </c>
      <c r="Q84" s="21"/>
      <c r="R84" s="21"/>
      <c r="S84" s="21"/>
      <c r="T84" s="22"/>
      <c r="U84" s="22"/>
      <c r="V84" s="22"/>
      <c r="W84" s="23"/>
      <c r="X84" s="23"/>
      <c r="Y84" s="23"/>
      <c r="Z84" s="24" t="s">
        <v>3221</v>
      </c>
    </row>
    <row r="86" spans="1:26" ht="18.75" x14ac:dyDescent="0.3">
      <c r="A86" s="62" t="s">
        <v>3222</v>
      </c>
      <c r="B86" s="52"/>
      <c r="C86" s="52"/>
      <c r="D86" s="52"/>
      <c r="E86" s="52"/>
      <c r="F86" s="52"/>
    </row>
    <row r="87" spans="1:26" x14ac:dyDescent="0.25">
      <c r="A87" s="30" t="s">
        <v>3223</v>
      </c>
      <c r="B87" s="31">
        <v>77</v>
      </c>
    </row>
    <row r="88" spans="1:26" x14ac:dyDescent="0.25">
      <c r="A88" s="30" t="s">
        <v>3224</v>
      </c>
      <c r="B88" s="31">
        <v>6</v>
      </c>
    </row>
    <row r="89" spans="1:26" x14ac:dyDescent="0.25">
      <c r="A89" s="30" t="s">
        <v>3225</v>
      </c>
      <c r="B89" s="31">
        <v>16</v>
      </c>
    </row>
    <row r="90" spans="1:26" x14ac:dyDescent="0.25">
      <c r="A90" s="30" t="s">
        <v>3226</v>
      </c>
      <c r="B90" s="31">
        <v>33</v>
      </c>
    </row>
    <row r="91" spans="1:26" x14ac:dyDescent="0.25">
      <c r="A91" s="30" t="s">
        <v>3227</v>
      </c>
      <c r="B91" s="31">
        <v>25</v>
      </c>
    </row>
    <row r="92" spans="1:26" x14ac:dyDescent="0.25">
      <c r="A92" s="30" t="s">
        <v>3228</v>
      </c>
      <c r="B92" s="31">
        <v>3</v>
      </c>
    </row>
    <row r="93" spans="1:26" x14ac:dyDescent="0.25">
      <c r="A93" s="30" t="s">
        <v>3229</v>
      </c>
      <c r="B93" s="31">
        <v>3</v>
      </c>
    </row>
    <row r="94" spans="1:26" x14ac:dyDescent="0.25">
      <c r="A94" s="30" t="s">
        <v>3230</v>
      </c>
      <c r="B94" s="31">
        <v>9</v>
      </c>
    </row>
  </sheetData>
  <autoFilter ref="A1:Z1" xr:uid="{00000000-0009-0000-0000-00000A000000}"/>
  <mergeCells count="7">
    <mergeCell ref="A86:F86"/>
    <mergeCell ref="A56:Z56"/>
    <mergeCell ref="A27:Z27"/>
    <mergeCell ref="A70:Z70"/>
    <mergeCell ref="A39:Z39"/>
    <mergeCell ref="A2:Z2"/>
    <mergeCell ref="A15:Z15"/>
  </mergeCells>
  <dataValidations count="1">
    <dataValidation type="list" allowBlank="1" sqref="Q3 Q4 Q5 Q6 Q7 Q8 Q9 Q10 Q11 Q12 Q13 Q14 Q16 Q17 Q18 Q19 Q20 Q21 Q22 Q23 Q24 Q25 Q26 Q28 Q29 Q30 Q31 Q32 Q33 Q34 Q35 Q36 Q37 Q38 Q40 Q41 Q42 Q43 Q44 Q45 Q46 Q47 Q48 Q49 Q50 Q51 Q52 Q53 Q54 Q55 Q57 Q58 Q59 Q60 Q61 Q62 Q63 Q64 Q65 Q66 Q67 Q68 Q69 Q71 Q72 Q73 Q74 Q75 Q76 Q77 Q78 Q79 Q80 Q81 Q82 Q83 Q84 T3 T4 T5 T6 T7 T8 T9 T10 T11 T12 T13 T14 T16 T17 T18 T19 T20 T21 T22 T23 T24 T25 T26 T28 T29 T30 T31 T32 T33 T34 T35 T36 T37 T38 T40 T41 T42 T43 T44 T45 T46 T47 T48 T49 T50 T51 T52 T53 T54 T55 T57 T58 T59 T60 T61 T62 T63 T64 T65 T66 T67 T68 T69 T71 T72 T73 T74 T75 T76 T77 T78 T79 T80 T81 T82 T83 T84 W3 W4 W5 W6 W7 W8 W9 W10 W11 W12 W13 W14 W16 W17 W18 W19 W20 W21 W22 W23 W24 W25 W26 W28 W29 W30 W31 W32 W33 W34 W35 W36 W37 W38 W40 W41 W42 W43 W44 W45 W46 W47 W48 W49 W50 W51 W52 W53 W54 W55 W57 W58 W59 W60 W61 W62 W63 W64 W65 W66 W67 W68 W69 W71 W72 W73 W74 W75 W76 W77 W78 W79 W80 W81 W82 W83 W84" xr:uid="{00000000-0002-0000-0A00-000000000000}">
      <formula1>"Pass,Fail,N/A,Untested"</formula1>
    </dataValidation>
  </dataValidations>
  <hyperlinks>
    <hyperlink ref="Z3" r:id="rId1" xr:uid="{00000000-0004-0000-0A00-000000000000}"/>
    <hyperlink ref="Z4" r:id="rId2" xr:uid="{00000000-0004-0000-0A00-000001000000}"/>
    <hyperlink ref="Z5" r:id="rId3" xr:uid="{00000000-0004-0000-0A00-000002000000}"/>
    <hyperlink ref="Z6" r:id="rId4" xr:uid="{00000000-0004-0000-0A00-000003000000}"/>
    <hyperlink ref="Z7" r:id="rId5" xr:uid="{00000000-0004-0000-0A00-000004000000}"/>
    <hyperlink ref="Z8" r:id="rId6" xr:uid="{00000000-0004-0000-0A00-000005000000}"/>
    <hyperlink ref="Z9" r:id="rId7" xr:uid="{00000000-0004-0000-0A00-000006000000}"/>
    <hyperlink ref="Z10" r:id="rId8" xr:uid="{00000000-0004-0000-0A00-000007000000}"/>
    <hyperlink ref="Z11" r:id="rId9" xr:uid="{00000000-0004-0000-0A00-000008000000}"/>
    <hyperlink ref="Z12" r:id="rId10" xr:uid="{00000000-0004-0000-0A00-000009000000}"/>
    <hyperlink ref="Z13" r:id="rId11" xr:uid="{00000000-0004-0000-0A00-00000A000000}"/>
    <hyperlink ref="Z14" r:id="rId12" xr:uid="{00000000-0004-0000-0A00-00000B000000}"/>
    <hyperlink ref="Z16" r:id="rId13" xr:uid="{00000000-0004-0000-0A00-00000C000000}"/>
    <hyperlink ref="Z17" r:id="rId14" xr:uid="{00000000-0004-0000-0A00-00000D000000}"/>
    <hyperlink ref="Z18" r:id="rId15" xr:uid="{00000000-0004-0000-0A00-00000E000000}"/>
    <hyperlink ref="Z19" r:id="rId16" xr:uid="{00000000-0004-0000-0A00-00000F000000}"/>
    <hyperlink ref="Z20" r:id="rId17" xr:uid="{00000000-0004-0000-0A00-000010000000}"/>
    <hyperlink ref="Z21" r:id="rId18" xr:uid="{00000000-0004-0000-0A00-000011000000}"/>
    <hyperlink ref="Z22" r:id="rId19" xr:uid="{00000000-0004-0000-0A00-000012000000}"/>
    <hyperlink ref="Z23" r:id="rId20" xr:uid="{00000000-0004-0000-0A00-000013000000}"/>
    <hyperlink ref="Z24" r:id="rId21" xr:uid="{00000000-0004-0000-0A00-000014000000}"/>
    <hyperlink ref="Z25" r:id="rId22" xr:uid="{00000000-0004-0000-0A00-000015000000}"/>
    <hyperlink ref="Z26" r:id="rId23" xr:uid="{00000000-0004-0000-0A00-000016000000}"/>
    <hyperlink ref="Z28" r:id="rId24" xr:uid="{00000000-0004-0000-0A00-000017000000}"/>
    <hyperlink ref="Z29" r:id="rId25" xr:uid="{00000000-0004-0000-0A00-000018000000}"/>
    <hyperlink ref="Z30" r:id="rId26" xr:uid="{00000000-0004-0000-0A00-000019000000}"/>
    <hyperlink ref="Z31" r:id="rId27" xr:uid="{00000000-0004-0000-0A00-00001A000000}"/>
    <hyperlink ref="Z32" r:id="rId28" xr:uid="{00000000-0004-0000-0A00-00001B000000}"/>
    <hyperlink ref="Z33" r:id="rId29" xr:uid="{00000000-0004-0000-0A00-00001C000000}"/>
    <hyperlink ref="Z34" r:id="rId30" xr:uid="{00000000-0004-0000-0A00-00001D000000}"/>
    <hyperlink ref="Z35" r:id="rId31" xr:uid="{00000000-0004-0000-0A00-00001E000000}"/>
    <hyperlink ref="Z36" r:id="rId32" xr:uid="{00000000-0004-0000-0A00-00001F000000}"/>
    <hyperlink ref="Z37" r:id="rId33" xr:uid="{00000000-0004-0000-0A00-000020000000}"/>
    <hyperlink ref="Z38" r:id="rId34" xr:uid="{00000000-0004-0000-0A00-000021000000}"/>
    <hyperlink ref="Z40" r:id="rId35" xr:uid="{00000000-0004-0000-0A00-000022000000}"/>
    <hyperlink ref="Z41" r:id="rId36" xr:uid="{00000000-0004-0000-0A00-000023000000}"/>
    <hyperlink ref="Z42" r:id="rId37" xr:uid="{00000000-0004-0000-0A00-000024000000}"/>
    <hyperlink ref="Z43" r:id="rId38" xr:uid="{00000000-0004-0000-0A00-000025000000}"/>
    <hyperlink ref="Z44" r:id="rId39" xr:uid="{00000000-0004-0000-0A00-000026000000}"/>
    <hyperlink ref="Z45" r:id="rId40" xr:uid="{00000000-0004-0000-0A00-000027000000}"/>
    <hyperlink ref="Z46" r:id="rId41" xr:uid="{00000000-0004-0000-0A00-000028000000}"/>
    <hyperlink ref="Z47" r:id="rId42" xr:uid="{00000000-0004-0000-0A00-000029000000}"/>
    <hyperlink ref="Z48" r:id="rId43" xr:uid="{00000000-0004-0000-0A00-00002A000000}"/>
    <hyperlink ref="Z49" r:id="rId44" xr:uid="{00000000-0004-0000-0A00-00002B000000}"/>
    <hyperlink ref="Z50" r:id="rId45" xr:uid="{00000000-0004-0000-0A00-00002C000000}"/>
    <hyperlink ref="Z51" r:id="rId46" xr:uid="{00000000-0004-0000-0A00-00002D000000}"/>
    <hyperlink ref="Z52" r:id="rId47" xr:uid="{00000000-0004-0000-0A00-00002E000000}"/>
    <hyperlink ref="Z53" r:id="rId48" xr:uid="{00000000-0004-0000-0A00-00002F000000}"/>
    <hyperlink ref="Z54" r:id="rId49" xr:uid="{00000000-0004-0000-0A00-000030000000}"/>
    <hyperlink ref="Z55" r:id="rId50" xr:uid="{00000000-0004-0000-0A00-000031000000}"/>
    <hyperlink ref="Z57" r:id="rId51" xr:uid="{00000000-0004-0000-0A00-000032000000}"/>
    <hyperlink ref="Z58" r:id="rId52" xr:uid="{00000000-0004-0000-0A00-000033000000}"/>
    <hyperlink ref="Z59" r:id="rId53" xr:uid="{00000000-0004-0000-0A00-000034000000}"/>
    <hyperlink ref="Z60" r:id="rId54" xr:uid="{00000000-0004-0000-0A00-000035000000}"/>
    <hyperlink ref="Z61" r:id="rId55" xr:uid="{00000000-0004-0000-0A00-000036000000}"/>
    <hyperlink ref="Z62" r:id="rId56" xr:uid="{00000000-0004-0000-0A00-000037000000}"/>
    <hyperlink ref="Z63" r:id="rId57" xr:uid="{00000000-0004-0000-0A00-000038000000}"/>
    <hyperlink ref="Z64" r:id="rId58" xr:uid="{00000000-0004-0000-0A00-000039000000}"/>
    <hyperlink ref="Z65" r:id="rId59" xr:uid="{00000000-0004-0000-0A00-00003A000000}"/>
    <hyperlink ref="Z66" r:id="rId60" xr:uid="{00000000-0004-0000-0A00-00003B000000}"/>
    <hyperlink ref="Z67" r:id="rId61" xr:uid="{00000000-0004-0000-0A00-00003C000000}"/>
    <hyperlink ref="Z68" r:id="rId62" xr:uid="{00000000-0004-0000-0A00-00003D000000}"/>
    <hyperlink ref="Z69" r:id="rId63" xr:uid="{00000000-0004-0000-0A00-00003E000000}"/>
    <hyperlink ref="Z71" r:id="rId64" xr:uid="{00000000-0004-0000-0A00-00003F000000}"/>
    <hyperlink ref="Z72" r:id="rId65" xr:uid="{00000000-0004-0000-0A00-000040000000}"/>
    <hyperlink ref="Z73" r:id="rId66" xr:uid="{00000000-0004-0000-0A00-000041000000}"/>
    <hyperlink ref="Z74" r:id="rId67" xr:uid="{00000000-0004-0000-0A00-000042000000}"/>
    <hyperlink ref="Z75" r:id="rId68" xr:uid="{00000000-0004-0000-0A00-000043000000}"/>
    <hyperlink ref="Z76" r:id="rId69" xr:uid="{00000000-0004-0000-0A00-000044000000}"/>
    <hyperlink ref="Z77" r:id="rId70" xr:uid="{00000000-0004-0000-0A00-000045000000}"/>
    <hyperlink ref="Z78" r:id="rId71" xr:uid="{00000000-0004-0000-0A00-000046000000}"/>
    <hyperlink ref="Z79" r:id="rId72" xr:uid="{00000000-0004-0000-0A00-000047000000}"/>
    <hyperlink ref="Z80" r:id="rId73" xr:uid="{00000000-0004-0000-0A00-000048000000}"/>
    <hyperlink ref="Z81" r:id="rId74" xr:uid="{00000000-0004-0000-0A00-000049000000}"/>
    <hyperlink ref="Z82" r:id="rId75" xr:uid="{00000000-0004-0000-0A00-00004A000000}"/>
    <hyperlink ref="Z83" r:id="rId76" xr:uid="{00000000-0004-0000-0A00-00004B000000}"/>
    <hyperlink ref="Z84" r:id="rId77" xr:uid="{00000000-0004-0000-0A00-00004C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87"/>
  <sheetViews>
    <sheetView workbookViewId="0">
      <pane ySplit="1" topLeftCell="A2" activePane="bottomLeft" state="frozen"/>
      <selection pane="bottomLeft"/>
    </sheetView>
  </sheetViews>
  <sheetFormatPr defaultRowHeight="15" x14ac:dyDescent="0.25"/>
  <cols>
    <col min="1" max="1" width="5" customWidth="1"/>
    <col min="2" max="2" width="28" customWidth="1"/>
    <col min="3" max="3" width="14" customWidth="1"/>
    <col min="4" max="4" width="12" customWidth="1"/>
    <col min="5" max="6" width="16" customWidth="1"/>
    <col min="7" max="7" width="14" customWidth="1"/>
    <col min="8" max="8" width="45" customWidth="1"/>
    <col min="9" max="9" width="10" customWidth="1"/>
    <col min="10" max="11" width="16" customWidth="1"/>
    <col min="12" max="12" width="35" customWidth="1"/>
  </cols>
  <sheetData>
    <row r="1" spans="1:12" ht="35.1" customHeight="1" x14ac:dyDescent="0.25">
      <c r="A1" s="8" t="s">
        <v>2682</v>
      </c>
      <c r="B1" s="8" t="s">
        <v>3231</v>
      </c>
      <c r="C1" s="8" t="s">
        <v>33</v>
      </c>
      <c r="D1" s="8" t="s">
        <v>3232</v>
      </c>
      <c r="E1" s="8" t="s">
        <v>3233</v>
      </c>
      <c r="F1" s="8" t="s">
        <v>3234</v>
      </c>
      <c r="G1" s="8" t="s">
        <v>3235</v>
      </c>
      <c r="H1" s="8" t="s">
        <v>3236</v>
      </c>
      <c r="I1" s="8" t="s">
        <v>2697</v>
      </c>
      <c r="J1" s="14" t="s">
        <v>3237</v>
      </c>
      <c r="K1" s="15" t="s">
        <v>3238</v>
      </c>
      <c r="L1" s="8" t="s">
        <v>3239</v>
      </c>
    </row>
    <row r="2" spans="1:12" ht="27.95" customHeight="1" x14ac:dyDescent="0.25">
      <c r="A2" s="63" t="s">
        <v>3240</v>
      </c>
      <c r="B2" s="54"/>
      <c r="C2" s="54"/>
      <c r="D2" s="54"/>
      <c r="E2" s="54"/>
      <c r="F2" s="54"/>
      <c r="G2" s="54"/>
      <c r="H2" s="54"/>
      <c r="I2" s="54"/>
      <c r="J2" s="54"/>
      <c r="K2" s="54"/>
      <c r="L2" s="55"/>
    </row>
    <row r="3" spans="1:12" x14ac:dyDescent="0.25">
      <c r="A3" s="32">
        <v>1</v>
      </c>
      <c r="B3" s="33" t="s">
        <v>3241</v>
      </c>
      <c r="C3" s="34" t="s">
        <v>3242</v>
      </c>
      <c r="D3" s="35" t="s">
        <v>3243</v>
      </c>
      <c r="E3" s="32">
        <v>155</v>
      </c>
      <c r="F3" s="32">
        <v>45</v>
      </c>
      <c r="G3" s="36" t="s">
        <v>3244</v>
      </c>
      <c r="H3" s="33" t="s">
        <v>3245</v>
      </c>
      <c r="I3" s="37" t="s">
        <v>2774</v>
      </c>
      <c r="J3" s="38"/>
      <c r="K3" s="39"/>
      <c r="L3" s="33" t="s">
        <v>3246</v>
      </c>
    </row>
    <row r="4" spans="1:12" x14ac:dyDescent="0.25">
      <c r="A4" s="32">
        <v>2</v>
      </c>
      <c r="B4" s="33" t="s">
        <v>3241</v>
      </c>
      <c r="C4" s="34" t="s">
        <v>3247</v>
      </c>
      <c r="D4" s="35" t="s">
        <v>3243</v>
      </c>
      <c r="E4" s="32">
        <v>158</v>
      </c>
      <c r="F4" s="32">
        <v>50</v>
      </c>
      <c r="G4" s="36" t="s">
        <v>3248</v>
      </c>
      <c r="H4" s="33" t="s">
        <v>3249</v>
      </c>
      <c r="I4" s="37" t="s">
        <v>2774</v>
      </c>
      <c r="J4" s="38"/>
      <c r="K4" s="39"/>
      <c r="L4" s="33"/>
    </row>
    <row r="5" spans="1:12" x14ac:dyDescent="0.25">
      <c r="A5" s="32">
        <v>3</v>
      </c>
      <c r="B5" s="33" t="s">
        <v>3241</v>
      </c>
      <c r="C5" s="34" t="s">
        <v>3250</v>
      </c>
      <c r="D5" s="35" t="s">
        <v>3243</v>
      </c>
      <c r="E5" s="32">
        <v>163</v>
      </c>
      <c r="F5" s="32">
        <v>58</v>
      </c>
      <c r="G5" s="36" t="s">
        <v>3248</v>
      </c>
      <c r="H5" s="33" t="s">
        <v>3251</v>
      </c>
      <c r="I5" s="40" t="s">
        <v>2723</v>
      </c>
      <c r="J5" s="38"/>
      <c r="K5" s="39"/>
      <c r="L5" s="33"/>
    </row>
    <row r="6" spans="1:12" x14ac:dyDescent="0.25">
      <c r="A6" s="32">
        <v>4</v>
      </c>
      <c r="B6" s="33" t="s">
        <v>3241</v>
      </c>
      <c r="C6" s="34" t="s">
        <v>3252</v>
      </c>
      <c r="D6" s="35" t="s">
        <v>3243</v>
      </c>
      <c r="E6" s="32">
        <v>165</v>
      </c>
      <c r="F6" s="32">
        <v>60</v>
      </c>
      <c r="G6" s="36" t="s">
        <v>3253</v>
      </c>
      <c r="H6" s="33" t="s">
        <v>3254</v>
      </c>
      <c r="I6" s="37" t="s">
        <v>2774</v>
      </c>
      <c r="J6" s="38"/>
      <c r="K6" s="39"/>
      <c r="L6" s="33" t="s">
        <v>3255</v>
      </c>
    </row>
    <row r="7" spans="1:12" x14ac:dyDescent="0.25">
      <c r="A7" s="32">
        <v>5</v>
      </c>
      <c r="B7" s="33" t="s">
        <v>3241</v>
      </c>
      <c r="C7" s="34" t="s">
        <v>3256</v>
      </c>
      <c r="D7" s="35" t="s">
        <v>3243</v>
      </c>
      <c r="E7" s="32">
        <v>168</v>
      </c>
      <c r="F7" s="32">
        <v>63</v>
      </c>
      <c r="G7" s="36" t="s">
        <v>3253</v>
      </c>
      <c r="H7" s="33" t="s">
        <v>3257</v>
      </c>
      <c r="I7" s="37" t="s">
        <v>2774</v>
      </c>
      <c r="J7" s="38"/>
      <c r="K7" s="39"/>
      <c r="L7" s="33"/>
    </row>
    <row r="8" spans="1:12" x14ac:dyDescent="0.25">
      <c r="A8" s="32">
        <v>6</v>
      </c>
      <c r="B8" s="33" t="s">
        <v>3241</v>
      </c>
      <c r="C8" s="34" t="s">
        <v>3258</v>
      </c>
      <c r="D8" s="35" t="s">
        <v>3243</v>
      </c>
      <c r="E8" s="32">
        <v>170</v>
      </c>
      <c r="F8" s="32">
        <v>68</v>
      </c>
      <c r="G8" s="36" t="s">
        <v>3253</v>
      </c>
      <c r="H8" s="33" t="s">
        <v>3259</v>
      </c>
      <c r="I8" s="40" t="s">
        <v>2723</v>
      </c>
      <c r="J8" s="38"/>
      <c r="K8" s="39"/>
      <c r="L8" s="33" t="s">
        <v>3260</v>
      </c>
    </row>
    <row r="9" spans="1:12" x14ac:dyDescent="0.25">
      <c r="A9" s="32">
        <v>7</v>
      </c>
      <c r="B9" s="33" t="s">
        <v>3241</v>
      </c>
      <c r="C9" s="34" t="s">
        <v>3261</v>
      </c>
      <c r="D9" s="35" t="s">
        <v>3243</v>
      </c>
      <c r="E9" s="32">
        <v>172</v>
      </c>
      <c r="F9" s="32">
        <v>72</v>
      </c>
      <c r="G9" s="36" t="s">
        <v>3262</v>
      </c>
      <c r="H9" s="33" t="s">
        <v>3263</v>
      </c>
      <c r="I9" s="37" t="s">
        <v>2774</v>
      </c>
      <c r="J9" s="38"/>
      <c r="K9" s="39"/>
      <c r="L9" s="33"/>
    </row>
    <row r="10" spans="1:12" x14ac:dyDescent="0.25">
      <c r="A10" s="32">
        <v>8</v>
      </c>
      <c r="B10" s="33" t="s">
        <v>3241</v>
      </c>
      <c r="C10" s="34" t="s">
        <v>3264</v>
      </c>
      <c r="D10" s="35" t="s">
        <v>3243</v>
      </c>
      <c r="E10" s="32">
        <v>175</v>
      </c>
      <c r="F10" s="32">
        <v>75</v>
      </c>
      <c r="G10" s="36" t="s">
        <v>3262</v>
      </c>
      <c r="H10" s="33" t="s">
        <v>3265</v>
      </c>
      <c r="I10" s="37" t="s">
        <v>2774</v>
      </c>
      <c r="J10" s="38"/>
      <c r="K10" s="39"/>
      <c r="L10" s="33"/>
    </row>
    <row r="11" spans="1:12" x14ac:dyDescent="0.25">
      <c r="A11" s="32">
        <v>9</v>
      </c>
      <c r="B11" s="33" t="s">
        <v>3241</v>
      </c>
      <c r="C11" s="34" t="s">
        <v>3266</v>
      </c>
      <c r="D11" s="35" t="s">
        <v>3243</v>
      </c>
      <c r="E11" s="32">
        <v>178</v>
      </c>
      <c r="F11" s="32">
        <v>80</v>
      </c>
      <c r="G11" s="36" t="s">
        <v>3267</v>
      </c>
      <c r="H11" s="33" t="s">
        <v>3268</v>
      </c>
      <c r="I11" s="37" t="s">
        <v>2774</v>
      </c>
      <c r="J11" s="38"/>
      <c r="K11" s="39"/>
      <c r="L11" s="33"/>
    </row>
    <row r="12" spans="1:12" x14ac:dyDescent="0.25">
      <c r="A12" s="32">
        <v>10</v>
      </c>
      <c r="B12" s="33" t="s">
        <v>3241</v>
      </c>
      <c r="C12" s="34" t="s">
        <v>3269</v>
      </c>
      <c r="D12" s="35" t="s">
        <v>3243</v>
      </c>
      <c r="E12" s="32">
        <v>180</v>
      </c>
      <c r="F12" s="32">
        <v>85</v>
      </c>
      <c r="G12" s="36" t="s">
        <v>3267</v>
      </c>
      <c r="H12" s="33" t="s">
        <v>3270</v>
      </c>
      <c r="I12" s="40" t="s">
        <v>2723</v>
      </c>
      <c r="J12" s="38"/>
      <c r="K12" s="39"/>
      <c r="L12" s="33"/>
    </row>
    <row r="13" spans="1:12" x14ac:dyDescent="0.25">
      <c r="A13" s="32">
        <v>11</v>
      </c>
      <c r="B13" s="33" t="s">
        <v>3241</v>
      </c>
      <c r="C13" s="34" t="s">
        <v>3271</v>
      </c>
      <c r="D13" s="35" t="s">
        <v>3243</v>
      </c>
      <c r="E13" s="32">
        <v>183</v>
      </c>
      <c r="F13" s="32">
        <v>90</v>
      </c>
      <c r="G13" s="36" t="s">
        <v>3272</v>
      </c>
      <c r="H13" s="33" t="s">
        <v>3273</v>
      </c>
      <c r="I13" s="37" t="s">
        <v>2774</v>
      </c>
      <c r="J13" s="38"/>
      <c r="K13" s="39"/>
      <c r="L13" s="33"/>
    </row>
    <row r="14" spans="1:12" x14ac:dyDescent="0.25">
      <c r="A14" s="32">
        <v>12</v>
      </c>
      <c r="B14" s="33" t="s">
        <v>3241</v>
      </c>
      <c r="C14" s="34" t="s">
        <v>3274</v>
      </c>
      <c r="D14" s="35" t="s">
        <v>3243</v>
      </c>
      <c r="E14" s="32">
        <v>188</v>
      </c>
      <c r="F14" s="32">
        <v>100</v>
      </c>
      <c r="G14" s="36" t="s">
        <v>3272</v>
      </c>
      <c r="H14" s="33" t="s">
        <v>3275</v>
      </c>
      <c r="I14" s="40" t="s">
        <v>2723</v>
      </c>
      <c r="J14" s="38"/>
      <c r="K14" s="39"/>
      <c r="L14" s="33" t="s">
        <v>3276</v>
      </c>
    </row>
    <row r="15" spans="1:12" ht="27.95" customHeight="1" x14ac:dyDescent="0.25">
      <c r="A15" s="64" t="s">
        <v>3277</v>
      </c>
      <c r="B15" s="54"/>
      <c r="C15" s="54"/>
      <c r="D15" s="54"/>
      <c r="E15" s="54"/>
      <c r="F15" s="54"/>
      <c r="G15" s="54"/>
      <c r="H15" s="54"/>
      <c r="I15" s="54"/>
      <c r="J15" s="54"/>
      <c r="K15" s="54"/>
      <c r="L15" s="55"/>
    </row>
    <row r="16" spans="1:12" x14ac:dyDescent="0.25">
      <c r="A16" s="32">
        <v>13</v>
      </c>
      <c r="B16" s="33" t="s">
        <v>3278</v>
      </c>
      <c r="C16" s="34" t="s">
        <v>3279</v>
      </c>
      <c r="D16" s="41" t="s">
        <v>3280</v>
      </c>
      <c r="E16" s="32">
        <v>150</v>
      </c>
      <c r="F16" s="32">
        <v>40</v>
      </c>
      <c r="G16" s="36" t="s">
        <v>3244</v>
      </c>
      <c r="H16" s="33" t="s">
        <v>3281</v>
      </c>
      <c r="I16" s="37" t="s">
        <v>2774</v>
      </c>
      <c r="J16" s="38"/>
      <c r="K16" s="39"/>
      <c r="L16" s="33" t="s">
        <v>3282</v>
      </c>
    </row>
    <row r="17" spans="1:12" x14ac:dyDescent="0.25">
      <c r="A17" s="32">
        <v>14</v>
      </c>
      <c r="B17" s="33" t="s">
        <v>3278</v>
      </c>
      <c r="C17" s="34" t="s">
        <v>3283</v>
      </c>
      <c r="D17" s="41" t="s">
        <v>3280</v>
      </c>
      <c r="E17" s="32">
        <v>153</v>
      </c>
      <c r="F17" s="32">
        <v>45</v>
      </c>
      <c r="G17" s="36" t="s">
        <v>3244</v>
      </c>
      <c r="H17" s="33" t="s">
        <v>3284</v>
      </c>
      <c r="I17" s="40" t="s">
        <v>2723</v>
      </c>
      <c r="J17" s="38"/>
      <c r="K17" s="39"/>
      <c r="L17" s="33"/>
    </row>
    <row r="18" spans="1:12" x14ac:dyDescent="0.25">
      <c r="A18" s="32">
        <v>15</v>
      </c>
      <c r="B18" s="33" t="s">
        <v>3278</v>
      </c>
      <c r="C18" s="34" t="s">
        <v>3285</v>
      </c>
      <c r="D18" s="41" t="s">
        <v>3280</v>
      </c>
      <c r="E18" s="32">
        <v>155</v>
      </c>
      <c r="F18" s="32">
        <v>48</v>
      </c>
      <c r="G18" s="36" t="s">
        <v>3248</v>
      </c>
      <c r="H18" s="33" t="s">
        <v>3286</v>
      </c>
      <c r="I18" s="37" t="s">
        <v>2774</v>
      </c>
      <c r="J18" s="38"/>
      <c r="K18" s="39"/>
      <c r="L18" s="33"/>
    </row>
    <row r="19" spans="1:12" x14ac:dyDescent="0.25">
      <c r="A19" s="32">
        <v>16</v>
      </c>
      <c r="B19" s="33" t="s">
        <v>3278</v>
      </c>
      <c r="C19" s="34" t="s">
        <v>3287</v>
      </c>
      <c r="D19" s="41" t="s">
        <v>3280</v>
      </c>
      <c r="E19" s="32">
        <v>158</v>
      </c>
      <c r="F19" s="32">
        <v>50</v>
      </c>
      <c r="G19" s="36" t="s">
        <v>3248</v>
      </c>
      <c r="H19" s="33" t="s">
        <v>3288</v>
      </c>
      <c r="I19" s="37" t="s">
        <v>2774</v>
      </c>
      <c r="J19" s="38"/>
      <c r="K19" s="39"/>
      <c r="L19" s="33" t="s">
        <v>3289</v>
      </c>
    </row>
    <row r="20" spans="1:12" x14ac:dyDescent="0.25">
      <c r="A20" s="32">
        <v>17</v>
      </c>
      <c r="B20" s="33" t="s">
        <v>3278</v>
      </c>
      <c r="C20" s="34" t="s">
        <v>3290</v>
      </c>
      <c r="D20" s="41" t="s">
        <v>3280</v>
      </c>
      <c r="E20" s="32">
        <v>160</v>
      </c>
      <c r="F20" s="32">
        <v>53</v>
      </c>
      <c r="G20" s="36" t="s">
        <v>3253</v>
      </c>
      <c r="H20" s="33" t="s">
        <v>3291</v>
      </c>
      <c r="I20" s="37" t="s">
        <v>2774</v>
      </c>
      <c r="J20" s="38"/>
      <c r="K20" s="39"/>
      <c r="L20" s="33"/>
    </row>
    <row r="21" spans="1:12" x14ac:dyDescent="0.25">
      <c r="A21" s="32">
        <v>18</v>
      </c>
      <c r="B21" s="33" t="s">
        <v>3278</v>
      </c>
      <c r="C21" s="34" t="s">
        <v>3292</v>
      </c>
      <c r="D21" s="41" t="s">
        <v>3280</v>
      </c>
      <c r="E21" s="32">
        <v>163</v>
      </c>
      <c r="F21" s="32">
        <v>55</v>
      </c>
      <c r="G21" s="36" t="s">
        <v>3253</v>
      </c>
      <c r="H21" s="33" t="s">
        <v>3293</v>
      </c>
      <c r="I21" s="40" t="s">
        <v>2723</v>
      </c>
      <c r="J21" s="38"/>
      <c r="K21" s="39"/>
      <c r="L21" s="33"/>
    </row>
    <row r="22" spans="1:12" x14ac:dyDescent="0.25">
      <c r="A22" s="32">
        <v>19</v>
      </c>
      <c r="B22" s="33" t="s">
        <v>3278</v>
      </c>
      <c r="C22" s="34" t="s">
        <v>3294</v>
      </c>
      <c r="D22" s="41" t="s">
        <v>3280</v>
      </c>
      <c r="E22" s="32">
        <v>165</v>
      </c>
      <c r="F22" s="32">
        <v>60</v>
      </c>
      <c r="G22" s="36" t="s">
        <v>3262</v>
      </c>
      <c r="H22" s="33" t="s">
        <v>3295</v>
      </c>
      <c r="I22" s="37" t="s">
        <v>2774</v>
      </c>
      <c r="J22" s="38"/>
      <c r="K22" s="39"/>
      <c r="L22" s="33"/>
    </row>
    <row r="23" spans="1:12" x14ac:dyDescent="0.25">
      <c r="A23" s="32">
        <v>20</v>
      </c>
      <c r="B23" s="33" t="s">
        <v>3278</v>
      </c>
      <c r="C23" s="34" t="s">
        <v>3296</v>
      </c>
      <c r="D23" s="41" t="s">
        <v>3280</v>
      </c>
      <c r="E23" s="32">
        <v>168</v>
      </c>
      <c r="F23" s="32">
        <v>65</v>
      </c>
      <c r="G23" s="36" t="s">
        <v>3262</v>
      </c>
      <c r="H23" s="33" t="s">
        <v>3297</v>
      </c>
      <c r="I23" s="40" t="s">
        <v>2723</v>
      </c>
      <c r="J23" s="38"/>
      <c r="K23" s="39"/>
      <c r="L23" s="33"/>
    </row>
    <row r="24" spans="1:12" x14ac:dyDescent="0.25">
      <c r="A24" s="32">
        <v>21</v>
      </c>
      <c r="B24" s="33" t="s">
        <v>3278</v>
      </c>
      <c r="C24" s="34" t="s">
        <v>3298</v>
      </c>
      <c r="D24" s="41" t="s">
        <v>3280</v>
      </c>
      <c r="E24" s="32">
        <v>170</v>
      </c>
      <c r="F24" s="32">
        <v>70</v>
      </c>
      <c r="G24" s="36" t="s">
        <v>3267</v>
      </c>
      <c r="H24" s="33" t="s">
        <v>3299</v>
      </c>
      <c r="I24" s="37" t="s">
        <v>2774</v>
      </c>
      <c r="J24" s="38"/>
      <c r="K24" s="39"/>
      <c r="L24" s="33"/>
    </row>
    <row r="25" spans="1:12" x14ac:dyDescent="0.25">
      <c r="A25" s="32">
        <v>22</v>
      </c>
      <c r="B25" s="33" t="s">
        <v>3278</v>
      </c>
      <c r="C25" s="34" t="s">
        <v>3300</v>
      </c>
      <c r="D25" s="41" t="s">
        <v>3280</v>
      </c>
      <c r="E25" s="32">
        <v>173</v>
      </c>
      <c r="F25" s="32">
        <v>75</v>
      </c>
      <c r="G25" s="36" t="s">
        <v>3267</v>
      </c>
      <c r="H25" s="33" t="s">
        <v>3301</v>
      </c>
      <c r="I25" s="40" t="s">
        <v>2723</v>
      </c>
      <c r="J25" s="38"/>
      <c r="K25" s="39"/>
      <c r="L25" s="33"/>
    </row>
    <row r="26" spans="1:12" x14ac:dyDescent="0.25">
      <c r="A26" s="32">
        <v>23</v>
      </c>
      <c r="B26" s="33" t="s">
        <v>3278</v>
      </c>
      <c r="C26" s="34" t="s">
        <v>3302</v>
      </c>
      <c r="D26" s="41" t="s">
        <v>3280</v>
      </c>
      <c r="E26" s="32">
        <v>175</v>
      </c>
      <c r="F26" s="32">
        <v>80</v>
      </c>
      <c r="G26" s="36" t="s">
        <v>3272</v>
      </c>
      <c r="H26" s="33" t="s">
        <v>3303</v>
      </c>
      <c r="I26" s="37" t="s">
        <v>2774</v>
      </c>
      <c r="J26" s="38"/>
      <c r="K26" s="39"/>
      <c r="L26" s="33"/>
    </row>
    <row r="27" spans="1:12" x14ac:dyDescent="0.25">
      <c r="A27" s="32">
        <v>24</v>
      </c>
      <c r="B27" s="33" t="s">
        <v>3278</v>
      </c>
      <c r="C27" s="34" t="s">
        <v>3304</v>
      </c>
      <c r="D27" s="41" t="s">
        <v>3280</v>
      </c>
      <c r="E27" s="32">
        <v>178</v>
      </c>
      <c r="F27" s="32">
        <v>85</v>
      </c>
      <c r="G27" s="36" t="s">
        <v>3272</v>
      </c>
      <c r="H27" s="33" t="s">
        <v>3305</v>
      </c>
      <c r="I27" s="40" t="s">
        <v>2723</v>
      </c>
      <c r="J27" s="38"/>
      <c r="K27" s="39"/>
      <c r="L27" s="33"/>
    </row>
    <row r="28" spans="1:12" ht="27.95" customHeight="1" x14ac:dyDescent="0.25">
      <c r="A28" s="65" t="s">
        <v>3306</v>
      </c>
      <c r="B28" s="54"/>
      <c r="C28" s="54"/>
      <c r="D28" s="54"/>
      <c r="E28" s="54"/>
      <c r="F28" s="54"/>
      <c r="G28" s="54"/>
      <c r="H28" s="54"/>
      <c r="I28" s="54"/>
      <c r="J28" s="54"/>
      <c r="K28" s="54"/>
      <c r="L28" s="55"/>
    </row>
    <row r="29" spans="1:12" x14ac:dyDescent="0.25">
      <c r="A29" s="32">
        <v>25</v>
      </c>
      <c r="B29" s="33" t="s">
        <v>3307</v>
      </c>
      <c r="C29" s="34" t="s">
        <v>3308</v>
      </c>
      <c r="D29" s="35" t="s">
        <v>3243</v>
      </c>
      <c r="E29" s="32">
        <v>158</v>
      </c>
      <c r="F29" s="32">
        <v>50</v>
      </c>
      <c r="G29" s="36" t="s">
        <v>3309</v>
      </c>
      <c r="H29" s="33" t="s">
        <v>3310</v>
      </c>
      <c r="I29" s="37" t="s">
        <v>2774</v>
      </c>
      <c r="J29" s="38"/>
      <c r="K29" s="39"/>
      <c r="L29" s="33" t="s">
        <v>3311</v>
      </c>
    </row>
    <row r="30" spans="1:12" x14ac:dyDescent="0.25">
      <c r="A30" s="32">
        <v>26</v>
      </c>
      <c r="B30" s="33" t="s">
        <v>3307</v>
      </c>
      <c r="C30" s="34" t="s">
        <v>3312</v>
      </c>
      <c r="D30" s="35" t="s">
        <v>3243</v>
      </c>
      <c r="E30" s="32">
        <v>163</v>
      </c>
      <c r="F30" s="32">
        <v>58</v>
      </c>
      <c r="G30" s="36" t="s">
        <v>3313</v>
      </c>
      <c r="H30" s="33" t="s">
        <v>3314</v>
      </c>
      <c r="I30" s="37" t="s">
        <v>2774</v>
      </c>
      <c r="J30" s="38"/>
      <c r="K30" s="39"/>
      <c r="L30" s="33"/>
    </row>
    <row r="31" spans="1:12" x14ac:dyDescent="0.25">
      <c r="A31" s="32">
        <v>27</v>
      </c>
      <c r="B31" s="33" t="s">
        <v>3307</v>
      </c>
      <c r="C31" s="34" t="s">
        <v>3315</v>
      </c>
      <c r="D31" s="35" t="s">
        <v>3243</v>
      </c>
      <c r="E31" s="32">
        <v>170</v>
      </c>
      <c r="F31" s="32">
        <v>70</v>
      </c>
      <c r="G31" s="36" t="s">
        <v>3316</v>
      </c>
      <c r="H31" s="33" t="s">
        <v>3317</v>
      </c>
      <c r="I31" s="37" t="s">
        <v>2774</v>
      </c>
      <c r="J31" s="38"/>
      <c r="K31" s="39"/>
      <c r="L31" s="33" t="s">
        <v>3318</v>
      </c>
    </row>
    <row r="32" spans="1:12" x14ac:dyDescent="0.25">
      <c r="A32" s="32">
        <v>28</v>
      </c>
      <c r="B32" s="33" t="s">
        <v>3307</v>
      </c>
      <c r="C32" s="34" t="s">
        <v>3319</v>
      </c>
      <c r="D32" s="35" t="s">
        <v>3243</v>
      </c>
      <c r="E32" s="32">
        <v>176</v>
      </c>
      <c r="F32" s="32">
        <v>78</v>
      </c>
      <c r="G32" s="36" t="s">
        <v>3320</v>
      </c>
      <c r="H32" s="33" t="s">
        <v>3321</v>
      </c>
      <c r="I32" s="37" t="s">
        <v>2774</v>
      </c>
      <c r="J32" s="38"/>
      <c r="K32" s="39"/>
      <c r="L32" s="33"/>
    </row>
    <row r="33" spans="1:12" x14ac:dyDescent="0.25">
      <c r="A33" s="32">
        <v>29</v>
      </c>
      <c r="B33" s="33" t="s">
        <v>3307</v>
      </c>
      <c r="C33" s="34" t="s">
        <v>3322</v>
      </c>
      <c r="D33" s="35" t="s">
        <v>3243</v>
      </c>
      <c r="E33" s="32">
        <v>180</v>
      </c>
      <c r="F33" s="32">
        <v>88</v>
      </c>
      <c r="G33" s="36" t="s">
        <v>3323</v>
      </c>
      <c r="H33" s="33" t="s">
        <v>3324</v>
      </c>
      <c r="I33" s="37" t="s">
        <v>2774</v>
      </c>
      <c r="J33" s="38"/>
      <c r="K33" s="39"/>
      <c r="L33" s="33"/>
    </row>
    <row r="34" spans="1:12" x14ac:dyDescent="0.25">
      <c r="A34" s="32">
        <v>30</v>
      </c>
      <c r="B34" s="33" t="s">
        <v>3307</v>
      </c>
      <c r="C34" s="34" t="s">
        <v>3325</v>
      </c>
      <c r="D34" s="41" t="s">
        <v>3280</v>
      </c>
      <c r="E34" s="32">
        <v>155</v>
      </c>
      <c r="F34" s="32">
        <v>48</v>
      </c>
      <c r="G34" s="36" t="s">
        <v>3309</v>
      </c>
      <c r="H34" s="33" t="s">
        <v>3326</v>
      </c>
      <c r="I34" s="37" t="s">
        <v>2774</v>
      </c>
      <c r="J34" s="38"/>
      <c r="K34" s="39"/>
      <c r="L34" s="33"/>
    </row>
    <row r="35" spans="1:12" x14ac:dyDescent="0.25">
      <c r="A35" s="32">
        <v>31</v>
      </c>
      <c r="B35" s="33" t="s">
        <v>3307</v>
      </c>
      <c r="C35" s="34" t="s">
        <v>3327</v>
      </c>
      <c r="D35" s="41" t="s">
        <v>3280</v>
      </c>
      <c r="E35" s="32">
        <v>160</v>
      </c>
      <c r="F35" s="32">
        <v>53</v>
      </c>
      <c r="G35" s="36" t="s">
        <v>3313</v>
      </c>
      <c r="H35" s="33" t="s">
        <v>3328</v>
      </c>
      <c r="I35" s="37" t="s">
        <v>2774</v>
      </c>
      <c r="J35" s="38"/>
      <c r="K35" s="39"/>
      <c r="L35" s="33"/>
    </row>
    <row r="36" spans="1:12" x14ac:dyDescent="0.25">
      <c r="A36" s="32">
        <v>32</v>
      </c>
      <c r="B36" s="33" t="s">
        <v>3307</v>
      </c>
      <c r="C36" s="34" t="s">
        <v>3329</v>
      </c>
      <c r="D36" s="41" t="s">
        <v>3280</v>
      </c>
      <c r="E36" s="32">
        <v>165</v>
      </c>
      <c r="F36" s="32">
        <v>60</v>
      </c>
      <c r="G36" s="36" t="s">
        <v>3316</v>
      </c>
      <c r="H36" s="33" t="s">
        <v>3330</v>
      </c>
      <c r="I36" s="37" t="s">
        <v>2774</v>
      </c>
      <c r="J36" s="38"/>
      <c r="K36" s="39"/>
      <c r="L36" s="33"/>
    </row>
    <row r="37" spans="1:12" x14ac:dyDescent="0.25">
      <c r="A37" s="32">
        <v>33</v>
      </c>
      <c r="B37" s="33" t="s">
        <v>3307</v>
      </c>
      <c r="C37" s="34" t="s">
        <v>3331</v>
      </c>
      <c r="D37" s="41" t="s">
        <v>3280</v>
      </c>
      <c r="E37" s="32">
        <v>170</v>
      </c>
      <c r="F37" s="32">
        <v>68</v>
      </c>
      <c r="G37" s="36" t="s">
        <v>3320</v>
      </c>
      <c r="H37" s="33" t="s">
        <v>3332</v>
      </c>
      <c r="I37" s="37" t="s">
        <v>2774</v>
      </c>
      <c r="J37" s="38"/>
      <c r="K37" s="39"/>
      <c r="L37" s="33"/>
    </row>
    <row r="38" spans="1:12" x14ac:dyDescent="0.25">
      <c r="A38" s="32">
        <v>34</v>
      </c>
      <c r="B38" s="33" t="s">
        <v>3307</v>
      </c>
      <c r="C38" s="34" t="s">
        <v>3333</v>
      </c>
      <c r="D38" s="41" t="s">
        <v>3280</v>
      </c>
      <c r="E38" s="32">
        <v>175</v>
      </c>
      <c r="F38" s="32">
        <v>78</v>
      </c>
      <c r="G38" s="36" t="s">
        <v>3323</v>
      </c>
      <c r="H38" s="33" t="s">
        <v>3334</v>
      </c>
      <c r="I38" s="37" t="s">
        <v>2774</v>
      </c>
      <c r="J38" s="38"/>
      <c r="K38" s="39"/>
      <c r="L38" s="33"/>
    </row>
    <row r="39" spans="1:12" ht="27.95" customHeight="1" x14ac:dyDescent="0.25">
      <c r="A39" s="68" t="s">
        <v>3335</v>
      </c>
      <c r="B39" s="54"/>
      <c r="C39" s="54"/>
      <c r="D39" s="54"/>
      <c r="E39" s="54"/>
      <c r="F39" s="54"/>
      <c r="G39" s="54"/>
      <c r="H39" s="54"/>
      <c r="I39" s="54"/>
      <c r="J39" s="54"/>
      <c r="K39" s="54"/>
      <c r="L39" s="55"/>
    </row>
    <row r="40" spans="1:12" ht="30" x14ac:dyDescent="0.25">
      <c r="A40" s="32">
        <v>35</v>
      </c>
      <c r="B40" s="33" t="s">
        <v>3336</v>
      </c>
      <c r="C40" s="34" t="s">
        <v>3337</v>
      </c>
      <c r="D40" s="35" t="s">
        <v>3243</v>
      </c>
      <c r="E40" s="32">
        <v>160</v>
      </c>
      <c r="F40" s="32">
        <v>80</v>
      </c>
      <c r="G40" s="36" t="s">
        <v>3320</v>
      </c>
      <c r="H40" s="33" t="s">
        <v>3338</v>
      </c>
      <c r="I40" s="37" t="s">
        <v>2774</v>
      </c>
      <c r="J40" s="38"/>
      <c r="K40" s="39"/>
      <c r="L40" s="33" t="s">
        <v>3339</v>
      </c>
    </row>
    <row r="41" spans="1:12" ht="30" x14ac:dyDescent="0.25">
      <c r="A41" s="32">
        <v>36</v>
      </c>
      <c r="B41" s="33" t="s">
        <v>3336</v>
      </c>
      <c r="C41" s="34" t="s">
        <v>3340</v>
      </c>
      <c r="D41" s="35" t="s">
        <v>3243</v>
      </c>
      <c r="E41" s="32">
        <v>165</v>
      </c>
      <c r="F41" s="32">
        <v>90</v>
      </c>
      <c r="G41" s="36" t="s">
        <v>3323</v>
      </c>
      <c r="H41" s="33" t="s">
        <v>3341</v>
      </c>
      <c r="I41" s="40" t="s">
        <v>2723</v>
      </c>
      <c r="J41" s="38"/>
      <c r="K41" s="39"/>
      <c r="L41" s="33" t="s">
        <v>3342</v>
      </c>
    </row>
    <row r="42" spans="1:12" ht="30" x14ac:dyDescent="0.25">
      <c r="A42" s="32">
        <v>37</v>
      </c>
      <c r="B42" s="33" t="s">
        <v>3336</v>
      </c>
      <c r="C42" s="34" t="s">
        <v>3343</v>
      </c>
      <c r="D42" s="35" t="s">
        <v>3243</v>
      </c>
      <c r="E42" s="32">
        <v>155</v>
      </c>
      <c r="F42" s="32">
        <v>75</v>
      </c>
      <c r="G42" s="36" t="s">
        <v>3262</v>
      </c>
      <c r="H42" s="33" t="s">
        <v>3344</v>
      </c>
      <c r="I42" s="40" t="s">
        <v>2723</v>
      </c>
      <c r="J42" s="38"/>
      <c r="K42" s="39"/>
      <c r="L42" s="33"/>
    </row>
    <row r="43" spans="1:12" ht="30" x14ac:dyDescent="0.25">
      <c r="A43" s="32">
        <v>38</v>
      </c>
      <c r="B43" s="33" t="s">
        <v>3336</v>
      </c>
      <c r="C43" s="34" t="s">
        <v>3345</v>
      </c>
      <c r="D43" s="41" t="s">
        <v>3280</v>
      </c>
      <c r="E43" s="32">
        <v>150</v>
      </c>
      <c r="F43" s="32">
        <v>65</v>
      </c>
      <c r="G43" s="36" t="s">
        <v>3262</v>
      </c>
      <c r="H43" s="33" t="s">
        <v>3346</v>
      </c>
      <c r="I43" s="37" t="s">
        <v>2774</v>
      </c>
      <c r="J43" s="38"/>
      <c r="K43" s="39"/>
      <c r="L43" s="33"/>
    </row>
    <row r="44" spans="1:12" ht="30" x14ac:dyDescent="0.25">
      <c r="A44" s="32">
        <v>39</v>
      </c>
      <c r="B44" s="33" t="s">
        <v>3336</v>
      </c>
      <c r="C44" s="34" t="s">
        <v>3347</v>
      </c>
      <c r="D44" s="41" t="s">
        <v>3280</v>
      </c>
      <c r="E44" s="32">
        <v>155</v>
      </c>
      <c r="F44" s="32">
        <v>70</v>
      </c>
      <c r="G44" s="36" t="s">
        <v>3320</v>
      </c>
      <c r="H44" s="33" t="s">
        <v>3348</v>
      </c>
      <c r="I44" s="40" t="s">
        <v>2723</v>
      </c>
      <c r="J44" s="38"/>
      <c r="K44" s="39"/>
      <c r="L44" s="33"/>
    </row>
    <row r="45" spans="1:12" ht="30" x14ac:dyDescent="0.25">
      <c r="A45" s="32">
        <v>40</v>
      </c>
      <c r="B45" s="33" t="s">
        <v>3336</v>
      </c>
      <c r="C45" s="34" t="s">
        <v>3349</v>
      </c>
      <c r="D45" s="41" t="s">
        <v>3280</v>
      </c>
      <c r="E45" s="32">
        <v>160</v>
      </c>
      <c r="F45" s="32">
        <v>80</v>
      </c>
      <c r="G45" s="36" t="s">
        <v>3323</v>
      </c>
      <c r="H45" s="33" t="s">
        <v>3350</v>
      </c>
      <c r="I45" s="40" t="s">
        <v>2723</v>
      </c>
      <c r="J45" s="38"/>
      <c r="K45" s="39"/>
      <c r="L45" s="33"/>
    </row>
    <row r="46" spans="1:12" ht="27.95" customHeight="1" x14ac:dyDescent="0.25">
      <c r="A46" s="66" t="s">
        <v>3351</v>
      </c>
      <c r="B46" s="54"/>
      <c r="C46" s="54"/>
      <c r="D46" s="54"/>
      <c r="E46" s="54"/>
      <c r="F46" s="54"/>
      <c r="G46" s="54"/>
      <c r="H46" s="54"/>
      <c r="I46" s="54"/>
      <c r="J46" s="54"/>
      <c r="K46" s="54"/>
      <c r="L46" s="55"/>
    </row>
    <row r="47" spans="1:12" ht="30" x14ac:dyDescent="0.25">
      <c r="A47" s="32">
        <v>41</v>
      </c>
      <c r="B47" s="33" t="s">
        <v>3352</v>
      </c>
      <c r="C47" s="34" t="s">
        <v>3353</v>
      </c>
      <c r="D47" s="35" t="s">
        <v>3243</v>
      </c>
      <c r="E47" s="32">
        <v>180</v>
      </c>
      <c r="F47" s="32">
        <v>55</v>
      </c>
      <c r="G47" s="36" t="s">
        <v>3313</v>
      </c>
      <c r="H47" s="33" t="s">
        <v>3354</v>
      </c>
      <c r="I47" s="37" t="s">
        <v>2774</v>
      </c>
      <c r="J47" s="38"/>
      <c r="K47" s="39"/>
      <c r="L47" s="33" t="s">
        <v>3355</v>
      </c>
    </row>
    <row r="48" spans="1:12" ht="30" x14ac:dyDescent="0.25">
      <c r="A48" s="32">
        <v>42</v>
      </c>
      <c r="B48" s="33" t="s">
        <v>3352</v>
      </c>
      <c r="C48" s="34" t="s">
        <v>3356</v>
      </c>
      <c r="D48" s="35" t="s">
        <v>3243</v>
      </c>
      <c r="E48" s="32">
        <v>185</v>
      </c>
      <c r="F48" s="32">
        <v>60</v>
      </c>
      <c r="G48" s="36" t="s">
        <v>3316</v>
      </c>
      <c r="H48" s="33" t="s">
        <v>3357</v>
      </c>
      <c r="I48" s="40" t="s">
        <v>2723</v>
      </c>
      <c r="J48" s="38"/>
      <c r="K48" s="39"/>
      <c r="L48" s="33"/>
    </row>
    <row r="49" spans="1:12" ht="30" x14ac:dyDescent="0.25">
      <c r="A49" s="32">
        <v>43</v>
      </c>
      <c r="B49" s="33" t="s">
        <v>3352</v>
      </c>
      <c r="C49" s="34" t="s">
        <v>3358</v>
      </c>
      <c r="D49" s="35" t="s">
        <v>3243</v>
      </c>
      <c r="E49" s="32">
        <v>175</v>
      </c>
      <c r="F49" s="32">
        <v>55</v>
      </c>
      <c r="G49" s="36" t="s">
        <v>3313</v>
      </c>
      <c r="H49" s="33" t="s">
        <v>3359</v>
      </c>
      <c r="I49" s="40" t="s">
        <v>2723</v>
      </c>
      <c r="J49" s="38"/>
      <c r="K49" s="39"/>
      <c r="L49" s="33"/>
    </row>
    <row r="50" spans="1:12" ht="30" x14ac:dyDescent="0.25">
      <c r="A50" s="32">
        <v>44</v>
      </c>
      <c r="B50" s="33" t="s">
        <v>3352</v>
      </c>
      <c r="C50" s="34" t="s">
        <v>3360</v>
      </c>
      <c r="D50" s="41" t="s">
        <v>3280</v>
      </c>
      <c r="E50" s="32">
        <v>170</v>
      </c>
      <c r="F50" s="32">
        <v>45</v>
      </c>
      <c r="G50" s="36" t="s">
        <v>3248</v>
      </c>
      <c r="H50" s="33" t="s">
        <v>3361</v>
      </c>
      <c r="I50" s="37" t="s">
        <v>2774</v>
      </c>
      <c r="J50" s="38"/>
      <c r="K50" s="39"/>
      <c r="L50" s="33"/>
    </row>
    <row r="51" spans="1:12" ht="30" x14ac:dyDescent="0.25">
      <c r="A51" s="32">
        <v>45</v>
      </c>
      <c r="B51" s="33" t="s">
        <v>3352</v>
      </c>
      <c r="C51" s="34" t="s">
        <v>3362</v>
      </c>
      <c r="D51" s="41" t="s">
        <v>3280</v>
      </c>
      <c r="E51" s="32">
        <v>175</v>
      </c>
      <c r="F51" s="32">
        <v>50</v>
      </c>
      <c r="G51" s="36" t="s">
        <v>3313</v>
      </c>
      <c r="H51" s="33" t="s">
        <v>3363</v>
      </c>
      <c r="I51" s="40" t="s">
        <v>2723</v>
      </c>
      <c r="J51" s="38"/>
      <c r="K51" s="39"/>
      <c r="L51" s="33"/>
    </row>
    <row r="52" spans="1:12" ht="30" x14ac:dyDescent="0.25">
      <c r="A52" s="32">
        <v>46</v>
      </c>
      <c r="B52" s="33" t="s">
        <v>3352</v>
      </c>
      <c r="C52" s="34" t="s">
        <v>3364</v>
      </c>
      <c r="D52" s="41" t="s">
        <v>3280</v>
      </c>
      <c r="E52" s="32">
        <v>168</v>
      </c>
      <c r="F52" s="32">
        <v>48</v>
      </c>
      <c r="G52" s="36" t="s">
        <v>3248</v>
      </c>
      <c r="H52" s="33" t="s">
        <v>3365</v>
      </c>
      <c r="I52" s="40" t="s">
        <v>2723</v>
      </c>
      <c r="J52" s="38"/>
      <c r="K52" s="39"/>
      <c r="L52" s="33"/>
    </row>
    <row r="53" spans="1:12" ht="27.95" customHeight="1" x14ac:dyDescent="0.25">
      <c r="A53" s="64" t="s">
        <v>3366</v>
      </c>
      <c r="B53" s="54"/>
      <c r="C53" s="54"/>
      <c r="D53" s="54"/>
      <c r="E53" s="54"/>
      <c r="F53" s="54"/>
      <c r="G53" s="54"/>
      <c r="H53" s="54"/>
      <c r="I53" s="54"/>
      <c r="J53" s="54"/>
      <c r="K53" s="54"/>
      <c r="L53" s="55"/>
    </row>
    <row r="54" spans="1:12" x14ac:dyDescent="0.25">
      <c r="A54" s="32">
        <v>47</v>
      </c>
      <c r="B54" s="33" t="s">
        <v>3367</v>
      </c>
      <c r="C54" s="34" t="s">
        <v>3368</v>
      </c>
      <c r="D54" s="35" t="s">
        <v>3243</v>
      </c>
      <c r="E54" s="32">
        <v>0</v>
      </c>
      <c r="F54" s="32">
        <v>0</v>
      </c>
      <c r="G54" s="36" t="s">
        <v>3369</v>
      </c>
      <c r="H54" s="33" t="s">
        <v>3370</v>
      </c>
      <c r="I54" s="37" t="s">
        <v>2774</v>
      </c>
      <c r="J54" s="38"/>
      <c r="K54" s="39"/>
      <c r="L54" s="33" t="s">
        <v>3371</v>
      </c>
    </row>
    <row r="55" spans="1:12" x14ac:dyDescent="0.25">
      <c r="A55" s="32">
        <v>48</v>
      </c>
      <c r="B55" s="33" t="s">
        <v>3367</v>
      </c>
      <c r="C55" s="34" t="s">
        <v>3372</v>
      </c>
      <c r="D55" s="35" t="s">
        <v>3243</v>
      </c>
      <c r="E55" s="32">
        <v>-170</v>
      </c>
      <c r="F55" s="32">
        <v>70</v>
      </c>
      <c r="G55" s="36" t="s">
        <v>3369</v>
      </c>
      <c r="H55" s="33" t="s">
        <v>3373</v>
      </c>
      <c r="I55" s="37" t="s">
        <v>2774</v>
      </c>
      <c r="J55" s="38"/>
      <c r="K55" s="39"/>
      <c r="L55" s="33" t="s">
        <v>3374</v>
      </c>
    </row>
    <row r="56" spans="1:12" x14ac:dyDescent="0.25">
      <c r="A56" s="32">
        <v>49</v>
      </c>
      <c r="B56" s="33" t="s">
        <v>3367</v>
      </c>
      <c r="C56" s="34" t="s">
        <v>3375</v>
      </c>
      <c r="D56" s="35" t="s">
        <v>3243</v>
      </c>
      <c r="E56" s="32">
        <v>170</v>
      </c>
      <c r="F56" s="32">
        <v>-60</v>
      </c>
      <c r="G56" s="36" t="s">
        <v>3369</v>
      </c>
      <c r="H56" s="33" t="s">
        <v>3376</v>
      </c>
      <c r="I56" s="37" t="s">
        <v>2774</v>
      </c>
      <c r="J56" s="38"/>
      <c r="K56" s="39"/>
      <c r="L56" s="33" t="s">
        <v>3374</v>
      </c>
    </row>
    <row r="57" spans="1:12" x14ac:dyDescent="0.25">
      <c r="A57" s="32">
        <v>50</v>
      </c>
      <c r="B57" s="33" t="s">
        <v>3367</v>
      </c>
      <c r="C57" s="34" t="s">
        <v>3377</v>
      </c>
      <c r="D57" s="35" t="s">
        <v>3243</v>
      </c>
      <c r="E57" s="32">
        <v>100</v>
      </c>
      <c r="F57" s="32">
        <v>50</v>
      </c>
      <c r="G57" s="36" t="s">
        <v>3369</v>
      </c>
      <c r="H57" s="33" t="s">
        <v>3378</v>
      </c>
      <c r="I57" s="40" t="s">
        <v>2723</v>
      </c>
      <c r="J57" s="38"/>
      <c r="K57" s="39"/>
      <c r="L57" s="33" t="s">
        <v>3379</v>
      </c>
    </row>
    <row r="58" spans="1:12" x14ac:dyDescent="0.25">
      <c r="A58" s="32">
        <v>51</v>
      </c>
      <c r="B58" s="33" t="s">
        <v>3367</v>
      </c>
      <c r="C58" s="34" t="s">
        <v>3380</v>
      </c>
      <c r="D58" s="35" t="s">
        <v>3243</v>
      </c>
      <c r="E58" s="32">
        <v>250</v>
      </c>
      <c r="F58" s="32">
        <v>80</v>
      </c>
      <c r="G58" s="36" t="s">
        <v>3369</v>
      </c>
      <c r="H58" s="33" t="s">
        <v>3381</v>
      </c>
      <c r="I58" s="40" t="s">
        <v>2723</v>
      </c>
      <c r="J58" s="38"/>
      <c r="K58" s="39"/>
      <c r="L58" s="33" t="s">
        <v>3379</v>
      </c>
    </row>
    <row r="59" spans="1:12" x14ac:dyDescent="0.25">
      <c r="A59" s="32">
        <v>52</v>
      </c>
      <c r="B59" s="33" t="s">
        <v>3367</v>
      </c>
      <c r="C59" s="34" t="s">
        <v>3382</v>
      </c>
      <c r="D59" s="35" t="s">
        <v>3243</v>
      </c>
      <c r="E59" s="32">
        <v>170</v>
      </c>
      <c r="F59" s="32">
        <v>200</v>
      </c>
      <c r="G59" s="36" t="s">
        <v>3369</v>
      </c>
      <c r="H59" s="33" t="s">
        <v>3383</v>
      </c>
      <c r="I59" s="40" t="s">
        <v>2723</v>
      </c>
      <c r="J59" s="38"/>
      <c r="K59" s="39"/>
      <c r="L59" s="33" t="s">
        <v>3379</v>
      </c>
    </row>
    <row r="60" spans="1:12" x14ac:dyDescent="0.25">
      <c r="A60" s="32">
        <v>53</v>
      </c>
      <c r="B60" s="33" t="s">
        <v>3367</v>
      </c>
      <c r="C60" s="34" t="s">
        <v>3384</v>
      </c>
      <c r="D60" s="35" t="s">
        <v>3243</v>
      </c>
      <c r="E60" s="32">
        <v>170</v>
      </c>
      <c r="F60" s="32">
        <v>10</v>
      </c>
      <c r="G60" s="36" t="s">
        <v>3369</v>
      </c>
      <c r="H60" s="33" t="s">
        <v>3385</v>
      </c>
      <c r="I60" s="40" t="s">
        <v>2723</v>
      </c>
      <c r="J60" s="38"/>
      <c r="K60" s="39"/>
      <c r="L60" s="33" t="s">
        <v>3379</v>
      </c>
    </row>
    <row r="61" spans="1:12" x14ac:dyDescent="0.25">
      <c r="A61" s="32">
        <v>54</v>
      </c>
      <c r="B61" s="33" t="s">
        <v>3367</v>
      </c>
      <c r="C61" s="34" t="s">
        <v>3386</v>
      </c>
      <c r="D61" s="42"/>
      <c r="E61" s="32">
        <v>170</v>
      </c>
      <c r="F61" s="32">
        <v>70</v>
      </c>
      <c r="G61" s="36" t="s">
        <v>3369</v>
      </c>
      <c r="H61" s="33" t="s">
        <v>3387</v>
      </c>
      <c r="I61" s="37" t="s">
        <v>2774</v>
      </c>
      <c r="J61" s="38"/>
      <c r="K61" s="39"/>
      <c r="L61" s="33" t="s">
        <v>3388</v>
      </c>
    </row>
    <row r="62" spans="1:12" x14ac:dyDescent="0.25">
      <c r="A62" s="32">
        <v>55</v>
      </c>
      <c r="B62" s="33" t="s">
        <v>3367</v>
      </c>
      <c r="C62" s="34" t="s">
        <v>3389</v>
      </c>
      <c r="D62" s="35" t="s">
        <v>3243</v>
      </c>
      <c r="E62" s="32"/>
      <c r="F62" s="32"/>
      <c r="G62" s="36" t="s">
        <v>3369</v>
      </c>
      <c r="H62" s="33" t="s">
        <v>3390</v>
      </c>
      <c r="I62" s="37" t="s">
        <v>2774</v>
      </c>
      <c r="J62" s="38"/>
      <c r="K62" s="39"/>
      <c r="L62" s="33" t="s">
        <v>3391</v>
      </c>
    </row>
    <row r="63" spans="1:12" x14ac:dyDescent="0.25">
      <c r="A63" s="32">
        <v>56</v>
      </c>
      <c r="B63" s="33" t="s">
        <v>3367</v>
      </c>
      <c r="C63" s="34" t="s">
        <v>3392</v>
      </c>
      <c r="D63" s="35" t="s">
        <v>3243</v>
      </c>
      <c r="E63" s="32" t="s">
        <v>3393</v>
      </c>
      <c r="F63" s="32">
        <v>70</v>
      </c>
      <c r="G63" s="36" t="s">
        <v>3369</v>
      </c>
      <c r="H63" s="33" t="s">
        <v>3394</v>
      </c>
      <c r="I63" s="40" t="s">
        <v>2723</v>
      </c>
      <c r="J63" s="38"/>
      <c r="K63" s="39"/>
      <c r="L63" s="33" t="s">
        <v>3395</v>
      </c>
    </row>
    <row r="64" spans="1:12" x14ac:dyDescent="0.25">
      <c r="A64" s="32">
        <v>57</v>
      </c>
      <c r="B64" s="33" t="s">
        <v>3367</v>
      </c>
      <c r="C64" s="34" t="s">
        <v>3396</v>
      </c>
      <c r="D64" s="35" t="s">
        <v>3243</v>
      </c>
      <c r="E64" s="32">
        <v>170</v>
      </c>
      <c r="F64" s="32" t="s">
        <v>3397</v>
      </c>
      <c r="G64" s="36" t="s">
        <v>3369</v>
      </c>
      <c r="H64" s="33" t="s">
        <v>3398</v>
      </c>
      <c r="I64" s="40" t="s">
        <v>2723</v>
      </c>
      <c r="J64" s="38"/>
      <c r="K64" s="39"/>
      <c r="L64" s="33" t="s">
        <v>3395</v>
      </c>
    </row>
    <row r="65" spans="1:12" x14ac:dyDescent="0.25">
      <c r="A65" s="32">
        <v>58</v>
      </c>
      <c r="B65" s="33" t="s">
        <v>3367</v>
      </c>
      <c r="C65" s="34" t="s">
        <v>3399</v>
      </c>
      <c r="D65" s="35" t="s">
        <v>3243</v>
      </c>
      <c r="E65" s="32">
        <v>170.5</v>
      </c>
      <c r="F65" s="32">
        <v>65.3</v>
      </c>
      <c r="G65" s="36" t="s">
        <v>3253</v>
      </c>
      <c r="H65" s="33" t="s">
        <v>3400</v>
      </c>
      <c r="I65" s="40" t="s">
        <v>2723</v>
      </c>
      <c r="J65" s="38"/>
      <c r="K65" s="39"/>
      <c r="L65" s="33" t="s">
        <v>3401</v>
      </c>
    </row>
    <row r="66" spans="1:12" ht="27.95" customHeight="1" x14ac:dyDescent="0.25">
      <c r="A66" s="67" t="s">
        <v>3402</v>
      </c>
      <c r="B66" s="54"/>
      <c r="C66" s="54"/>
      <c r="D66" s="54"/>
      <c r="E66" s="54"/>
      <c r="F66" s="54"/>
      <c r="G66" s="54"/>
      <c r="H66" s="54"/>
      <c r="I66" s="54"/>
      <c r="J66" s="54"/>
      <c r="K66" s="54"/>
      <c r="L66" s="55"/>
    </row>
    <row r="67" spans="1:12" ht="30" x14ac:dyDescent="0.25">
      <c r="A67" s="32">
        <v>59</v>
      </c>
      <c r="B67" s="33" t="s">
        <v>3403</v>
      </c>
      <c r="C67" s="34" t="s">
        <v>3404</v>
      </c>
      <c r="D67" s="35" t="s">
        <v>3243</v>
      </c>
      <c r="E67" s="32">
        <v>165</v>
      </c>
      <c r="F67" s="32">
        <v>60</v>
      </c>
      <c r="G67" s="36" t="s">
        <v>3253</v>
      </c>
      <c r="H67" s="33" t="s">
        <v>3405</v>
      </c>
      <c r="I67" s="37" t="s">
        <v>2774</v>
      </c>
      <c r="J67" s="38"/>
      <c r="K67" s="39"/>
      <c r="L67" s="33" t="s">
        <v>3406</v>
      </c>
    </row>
    <row r="68" spans="1:12" ht="30" x14ac:dyDescent="0.25">
      <c r="A68" s="32">
        <v>60</v>
      </c>
      <c r="B68" s="33" t="s">
        <v>3403</v>
      </c>
      <c r="C68" s="34" t="s">
        <v>3407</v>
      </c>
      <c r="D68" s="41" t="s">
        <v>3280</v>
      </c>
      <c r="E68" s="32">
        <v>165</v>
      </c>
      <c r="F68" s="32">
        <v>60</v>
      </c>
      <c r="G68" s="36" t="s">
        <v>3262</v>
      </c>
      <c r="H68" s="33" t="s">
        <v>3408</v>
      </c>
      <c r="I68" s="37" t="s">
        <v>2774</v>
      </c>
      <c r="J68" s="38"/>
      <c r="K68" s="39"/>
      <c r="L68" s="33" t="s">
        <v>3409</v>
      </c>
    </row>
    <row r="69" spans="1:12" ht="30" x14ac:dyDescent="0.25">
      <c r="A69" s="32">
        <v>61</v>
      </c>
      <c r="B69" s="33" t="s">
        <v>3403</v>
      </c>
      <c r="C69" s="34" t="s">
        <v>3410</v>
      </c>
      <c r="D69" s="35" t="s">
        <v>3243</v>
      </c>
      <c r="E69" s="32">
        <v>170</v>
      </c>
      <c r="F69" s="32">
        <v>65</v>
      </c>
      <c r="G69" s="36" t="s">
        <v>3253</v>
      </c>
      <c r="H69" s="33" t="s">
        <v>3411</v>
      </c>
      <c r="I69" s="40" t="s">
        <v>2723</v>
      </c>
      <c r="J69" s="38"/>
      <c r="K69" s="39"/>
      <c r="L69" s="33"/>
    </row>
    <row r="70" spans="1:12" ht="30" x14ac:dyDescent="0.25">
      <c r="A70" s="32">
        <v>62</v>
      </c>
      <c r="B70" s="33" t="s">
        <v>3403</v>
      </c>
      <c r="C70" s="34" t="s">
        <v>3412</v>
      </c>
      <c r="D70" s="41" t="s">
        <v>3280</v>
      </c>
      <c r="E70" s="32">
        <v>170</v>
      </c>
      <c r="F70" s="32">
        <v>65</v>
      </c>
      <c r="G70" s="36" t="s">
        <v>3262</v>
      </c>
      <c r="H70" s="33" t="s">
        <v>3413</v>
      </c>
      <c r="I70" s="40" t="s">
        <v>2723</v>
      </c>
      <c r="J70" s="38"/>
      <c r="K70" s="39"/>
      <c r="L70" s="33"/>
    </row>
    <row r="71" spans="1:12" ht="30" x14ac:dyDescent="0.25">
      <c r="A71" s="32">
        <v>63</v>
      </c>
      <c r="B71" s="33" t="s">
        <v>3403</v>
      </c>
      <c r="C71" s="34" t="s">
        <v>3414</v>
      </c>
      <c r="D71" s="35" t="s">
        <v>3243</v>
      </c>
      <c r="E71" s="32">
        <v>175</v>
      </c>
      <c r="F71" s="32">
        <v>75</v>
      </c>
      <c r="G71" s="36" t="s">
        <v>3262</v>
      </c>
      <c r="H71" s="33" t="s">
        <v>3415</v>
      </c>
      <c r="I71" s="40" t="s">
        <v>2723</v>
      </c>
      <c r="J71" s="38"/>
      <c r="K71" s="39"/>
      <c r="L71" s="33"/>
    </row>
    <row r="72" spans="1:12" ht="30" x14ac:dyDescent="0.25">
      <c r="A72" s="32">
        <v>64</v>
      </c>
      <c r="B72" s="33" t="s">
        <v>3403</v>
      </c>
      <c r="C72" s="34" t="s">
        <v>3416</v>
      </c>
      <c r="D72" s="41" t="s">
        <v>3280</v>
      </c>
      <c r="E72" s="32">
        <v>175</v>
      </c>
      <c r="F72" s="32">
        <v>75</v>
      </c>
      <c r="G72" s="36" t="s">
        <v>3267</v>
      </c>
      <c r="H72" s="33" t="s">
        <v>3417</v>
      </c>
      <c r="I72" s="40" t="s">
        <v>2723</v>
      </c>
      <c r="J72" s="38"/>
      <c r="K72" s="39"/>
      <c r="L72" s="33"/>
    </row>
    <row r="73" spans="1:12" ht="27.95" customHeight="1" x14ac:dyDescent="0.25">
      <c r="A73" s="58" t="s">
        <v>3418</v>
      </c>
      <c r="B73" s="54"/>
      <c r="C73" s="54"/>
      <c r="D73" s="54"/>
      <c r="E73" s="54"/>
      <c r="F73" s="54"/>
      <c r="G73" s="54"/>
      <c r="H73" s="54"/>
      <c r="I73" s="54"/>
      <c r="J73" s="54"/>
      <c r="K73" s="54"/>
      <c r="L73" s="55"/>
    </row>
    <row r="74" spans="1:12" ht="30" x14ac:dyDescent="0.25">
      <c r="A74" s="32">
        <v>65</v>
      </c>
      <c r="B74" s="33" t="s">
        <v>3419</v>
      </c>
      <c r="C74" s="34" t="s">
        <v>3420</v>
      </c>
      <c r="D74" s="35" t="s">
        <v>3243</v>
      </c>
      <c r="E74" s="32">
        <v>170</v>
      </c>
      <c r="F74" s="32">
        <v>70</v>
      </c>
      <c r="G74" s="36" t="s">
        <v>3253</v>
      </c>
      <c r="H74" s="33" t="s">
        <v>3421</v>
      </c>
      <c r="I74" s="37" t="s">
        <v>2774</v>
      </c>
      <c r="J74" s="38"/>
      <c r="K74" s="39"/>
      <c r="L74" s="33" t="s">
        <v>3422</v>
      </c>
    </row>
    <row r="75" spans="1:12" ht="30" x14ac:dyDescent="0.25">
      <c r="A75" s="32">
        <v>66</v>
      </c>
      <c r="B75" s="33" t="s">
        <v>3419</v>
      </c>
      <c r="C75" s="34" t="s">
        <v>3423</v>
      </c>
      <c r="D75" s="41" t="s">
        <v>3280</v>
      </c>
      <c r="E75" s="32">
        <v>160</v>
      </c>
      <c r="F75" s="32">
        <v>53</v>
      </c>
      <c r="G75" s="36" t="s">
        <v>3253</v>
      </c>
      <c r="H75" s="33" t="s">
        <v>3424</v>
      </c>
      <c r="I75" s="37" t="s">
        <v>2774</v>
      </c>
      <c r="J75" s="38"/>
      <c r="K75" s="39"/>
      <c r="L75" s="33"/>
    </row>
    <row r="76" spans="1:12" ht="30" x14ac:dyDescent="0.25">
      <c r="A76" s="32">
        <v>67</v>
      </c>
      <c r="B76" s="33" t="s">
        <v>3419</v>
      </c>
      <c r="C76" s="34" t="s">
        <v>3425</v>
      </c>
      <c r="D76" s="35" t="s">
        <v>3243</v>
      </c>
      <c r="E76" s="32">
        <v>170</v>
      </c>
      <c r="F76" s="32">
        <v>70</v>
      </c>
      <c r="G76" s="36" t="s">
        <v>3253</v>
      </c>
      <c r="H76" s="33" t="s">
        <v>3426</v>
      </c>
      <c r="I76" s="40" t="s">
        <v>2723</v>
      </c>
      <c r="J76" s="38"/>
      <c r="K76" s="39"/>
      <c r="L76" s="33" t="s">
        <v>3427</v>
      </c>
    </row>
    <row r="77" spans="1:12" ht="30" x14ac:dyDescent="0.25">
      <c r="A77" s="32">
        <v>68</v>
      </c>
      <c r="B77" s="33" t="s">
        <v>3419</v>
      </c>
      <c r="C77" s="34" t="s">
        <v>3428</v>
      </c>
      <c r="D77" s="35" t="s">
        <v>3243</v>
      </c>
      <c r="E77" s="32">
        <v>170</v>
      </c>
      <c r="F77" s="32">
        <v>70</v>
      </c>
      <c r="G77" s="36" t="s">
        <v>3253</v>
      </c>
      <c r="H77" s="33" t="s">
        <v>3429</v>
      </c>
      <c r="I77" s="37" t="s">
        <v>2774</v>
      </c>
      <c r="J77" s="38"/>
      <c r="K77" s="39"/>
      <c r="L77" s="33" t="s">
        <v>3430</v>
      </c>
    </row>
    <row r="78" spans="1:12" ht="30" x14ac:dyDescent="0.25">
      <c r="A78" s="32">
        <v>69</v>
      </c>
      <c r="B78" s="33" t="s">
        <v>3419</v>
      </c>
      <c r="C78" s="34" t="s">
        <v>3431</v>
      </c>
      <c r="D78" s="35" t="s">
        <v>3243</v>
      </c>
      <c r="E78" s="32">
        <v>170</v>
      </c>
      <c r="F78" s="32">
        <v>70</v>
      </c>
      <c r="G78" s="36" t="s">
        <v>3253</v>
      </c>
      <c r="H78" s="33" t="s">
        <v>3432</v>
      </c>
      <c r="I78" s="40" t="s">
        <v>2723</v>
      </c>
      <c r="J78" s="38"/>
      <c r="K78" s="39"/>
      <c r="L78" s="33" t="s">
        <v>3433</v>
      </c>
    </row>
    <row r="79" spans="1:12" ht="30" x14ac:dyDescent="0.25">
      <c r="A79" s="32">
        <v>70</v>
      </c>
      <c r="B79" s="33" t="s">
        <v>3419</v>
      </c>
      <c r="C79" s="34" t="s">
        <v>3434</v>
      </c>
      <c r="D79" s="35" t="s">
        <v>3243</v>
      </c>
      <c r="E79" s="32">
        <v>170</v>
      </c>
      <c r="F79" s="32">
        <v>70</v>
      </c>
      <c r="G79" s="36" t="s">
        <v>3253</v>
      </c>
      <c r="H79" s="33" t="s">
        <v>3435</v>
      </c>
      <c r="I79" s="40" t="s">
        <v>2723</v>
      </c>
      <c r="J79" s="38"/>
      <c r="K79" s="39"/>
      <c r="L79" s="33" t="s">
        <v>3436</v>
      </c>
    </row>
    <row r="81" spans="1:6" ht="18.75" x14ac:dyDescent="0.3">
      <c r="A81" s="62" t="s">
        <v>3437</v>
      </c>
      <c r="B81" s="52"/>
      <c r="C81" s="52"/>
      <c r="D81" s="52"/>
      <c r="E81" s="52"/>
      <c r="F81" s="52"/>
    </row>
    <row r="82" spans="1:6" x14ac:dyDescent="0.25">
      <c r="A82" s="30" t="s">
        <v>3438</v>
      </c>
      <c r="B82" s="31">
        <v>70</v>
      </c>
    </row>
    <row r="83" spans="1:6" x14ac:dyDescent="0.25">
      <c r="A83" s="30" t="s">
        <v>3224</v>
      </c>
      <c r="B83" s="31">
        <v>8</v>
      </c>
    </row>
    <row r="84" spans="1:6" x14ac:dyDescent="0.25">
      <c r="A84" s="30" t="s">
        <v>3225</v>
      </c>
      <c r="B84" s="31">
        <v>39</v>
      </c>
    </row>
    <row r="85" spans="1:6" x14ac:dyDescent="0.25">
      <c r="A85" s="30" t="s">
        <v>3226</v>
      </c>
      <c r="B85" s="31">
        <v>31</v>
      </c>
    </row>
    <row r="86" spans="1:6" x14ac:dyDescent="0.25">
      <c r="A86" s="30" t="s">
        <v>3439</v>
      </c>
      <c r="B86" s="31">
        <v>42</v>
      </c>
    </row>
    <row r="87" spans="1:6" x14ac:dyDescent="0.25">
      <c r="A87" s="30" t="s">
        <v>3440</v>
      </c>
      <c r="B87" s="31">
        <v>27</v>
      </c>
    </row>
  </sheetData>
  <autoFilter ref="A1:L1" xr:uid="{00000000-0009-0000-0000-00000B000000}"/>
  <mergeCells count="9">
    <mergeCell ref="A81:F81"/>
    <mergeCell ref="A73:L73"/>
    <mergeCell ref="A2:L2"/>
    <mergeCell ref="A15:L15"/>
    <mergeCell ref="A53:L53"/>
    <mergeCell ref="A28:L28"/>
    <mergeCell ref="A46:L46"/>
    <mergeCell ref="A66:L66"/>
    <mergeCell ref="A39:L39"/>
  </mergeCells>
  <dataValidations count="2">
    <dataValidation type="list" allowBlank="1" sqref="J3 J4 J5 J6 J7 J8 J9 J10 J11 J12 J13 J14 J16 J17 J18 J19 J20 J21 J22 J23 J24 J25 J26 J27 J29 J30 J31 J32 J33 J34 J35 J36 J37 J38 J40 J41 J42 J43 J44 J45 J47 J48 J49 J50 J51 J52 J54 J55 J56 J57 J58 J59 J60 J61 J62 J63 J64 J65 J67 J68 J69 J70 J71 J72 J74 J75 J76 J77 J78 J79 K3 K4 K5 K6 K7 K8 K9 K10 K11 K12 K13 K14 K16 K17 K18 K19 K20 K21 K22 K23 K24 K25 K26 K27 K29 K30 K31 K32 K33 K34 K35 K36 K37 K38 K40 K41 K42 K43 K44 K45 K47 K48 K49 K50 K51 K52 K54 K55 K56 K57 K58 K59 K60 K61 K62 K63 K64 K65 K67 K68 K69 K70 K71 K72 K74 K75 K76 K77 K78 K79" xr:uid="{00000000-0002-0000-0B00-000000000000}">
      <formula1>"Pass,Fail,N/A,Untested"</formula1>
    </dataValidation>
    <dataValidation type="list" allowBlank="1" sqref="D3 D4 D5 D6 D7 D8 D9 D10 D11 D12 D13 D14 D16 D17 D18 D19 D20 D21 D22 D23 D24 D25 D26 D27 D29 D30 D31 D32 D33 D34 D35 D36 D37 D38 D40 D41 D42 D43 D44 D45 D47 D48 D49 D50 D51 D52 D54 D55 D56 D57 D58 D59 D60 D61 D62 D63 D64 D65 D67 D68 D69 D70 D71 D72 D74 D75 D76 D77 D78 D79" xr:uid="{00000000-0002-0000-0B00-000001000000}">
      <formula1>"Nam,Nữ"</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 Page</vt:lpstr>
      <vt:lpstr>Execution Summary</vt:lpstr>
      <vt:lpstr>HOME</vt:lpstr>
      <vt:lpstr>DESIGN STUDIO</vt:lpstr>
      <vt:lpstr>AI GENERATE</vt:lpstr>
      <vt:lpstr>ĐẶT HÀNG</vt:lpstr>
      <vt:lpstr>THANH TOÁN</vt:lpstr>
      <vt:lpstr>LOGIN</vt:lpstr>
      <vt:lpstr>MY ORDERS</vt:lpstr>
      <vt:lpstr>POLICY PAGES</vt:lpstr>
      <vt:lpstr>E2E FLOW — LUỒNG ĐẦY ĐỦ</vt:lpstr>
      <vt:lpstr>DỮ LIỆU TEST ARTWORK</vt:lpstr>
      <vt:lpstr>GỢI Ý SIZE - TEST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Hoang Mai</cp:lastModifiedBy>
  <dcterms:created xsi:type="dcterms:W3CDTF">2026-03-26T09:20:04Z</dcterms:created>
  <dcterms:modified xsi:type="dcterms:W3CDTF">2026-03-30T02:30:43Z</dcterms:modified>
</cp:coreProperties>
</file>